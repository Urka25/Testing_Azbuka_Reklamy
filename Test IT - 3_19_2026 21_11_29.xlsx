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18a6ae6da48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35fc40cf594fdaad64ee11ad263448.psmdcp" Id="R6f07664f7ac5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Азбука Рекламы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7" i="1"/>
  <x:c r="C13" i="1"/>
  <x:c r="C19" i="1"/>
  <x:c r="C25" i="1"/>
  <x:c r="C31" i="1"/>
  <x:c r="C37" i="1"/>
  <x:c r="C42" i="1"/>
  <x:c r="C48" i="1"/>
  <x:c r="C53" i="1"/>
  <x:c r="C58" i="1"/>
  <x:c r="C62" i="1"/>
  <x:c r="C69" i="1"/>
  <x:c r="C74" i="1"/>
  <x:c r="C78" i="1"/>
  <x:c r="C82" i="1"/>
  <x:c r="C88" i="1"/>
  <x:c r="C92" i="1"/>
  <x:c r="C97" i="1"/>
  <x:c r="C102" i="1"/>
  <x:c r="C107" i="1"/>
  <x:c r="C111" i="1"/>
  <x:c r="C115" i="1"/>
  <x:c r="C119" i="1"/>
  <x:c r="C123" i="1"/>
  <x:c r="C127" i="1"/>
  <x:c r="C131" i="1"/>
  <x:c r="C135" i="1"/>
  <x:c r="C139" i="1"/>
  <x:c r="C143" i="1"/>
  <x:c r="C147" i="1"/>
  <x:c r="C151" i="1"/>
  <x:c r="C155" i="1"/>
  <x:c r="C159" i="1"/>
  <x:c r="C163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<x:sst xmlns:x="http://schemas.openxmlformats.org/spreadsheetml/2006/main">
  <x:si>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</x:si>
  <x:si>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</x:si>
  <x:si>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</x:si>
  <x:si>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</x:si>
  <x:si>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</x:si>
  <x:si>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</x:si>
  <x:si>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</x:si>
  <x:si>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</x:si>
  <x:si>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</x:si>
  <x:si>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</x:si>
  <x:si>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</x:si>
  <x:si>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</x:si>
  <x:si>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</x:si>
  <x:si>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</x:si>
  <x:si>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</x:si>
  <x:si>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</x:si>
  <x:si>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</x:si>
  <x:si>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4</x:t>
  </x:si>
  <x:si>
    <x:t>Азбука Рекламы -&gt; Главная страница</x:t>
  </x:si>
  <x:si>
    <x:t>Нет</x:t>
  </x:si>
  <x:si>
    <x:t/>
  </x:si>
  <x:si>
    <x:t>Низкий</x:t>
  </x:si>
  <x:si>
    <x:t>Готов</x:t>
  </x:si>
  <x:si>
    <x:t>2/24/2026 13:43:32</x:t>
  </x:si>
  <x:si>
    <x:t>Yuriy</x:t>
  </x:si>
  <x:si>
    <x:t>0h 10m 0s</x:t>
  </x:si>
  <x:si>
    <x:t>Открыт браузер, доступ в интернет</x:t>
  </x:si>
  <x:si>
    <x:t>Браузер открыт, интернет доступен</x:t>
  </x:si>
  <x:si>
    <x:t>smoke, главная</x:t>
  </x:si>
  <x:si>
    <x:t>1.  Перейти на http://f.azbukar.beget.tech/</x:t>
  </x:si>
  <x:si>
    <x:t>1. Страница загружается без ошибок (код 200)</x:t>
  </x:si>
  <x:si>
    <x:t>1. Дождаться полной загрузки</x:t>
  </x:si>
  <x:si>
    <x:t>2. В консоли браузера нет ошибок JavaScript</x:t>
  </x:si>
  <x:si>
    <x:t>Закрыть браузер</x:t>
  </x:si>
  <x:si>
    <x:t>Браузер закрыт</x:t>
  </x:si>
  <x:si>
    <x:t>5</x:t>
  </x:si>
  <x:si>
    <x:t>Средний</x:t>
  </x:si>
  <x:si>
    <x:t>Главная страница загружена</x:t>
  </x:si>
  <x:si>
    <x:t>Страница загружена корректно</x:t>
  </x:si>
  <x:si>
    <x:t>ui, верстка</x:t>
  </x:si>
  <x:si>
    <x:t>1. Прокрутить страницу сверху вниз</x:t>
  </x:si>
  <x:si>
    <x:t>1. Все элементы отображаются корректно</x:t>
  </x:si>
  <x:si>
    <x:t>2. Проверить все элементы визуально</x:t>
  </x:si>
  <x:si>
    <x:t>2. Нет наложений элементов</x:t>
  </x:si>
  <x:si>
    <x:t>3. Горизонтальный скролл</x:t>
  </x:si>
  <x:si>
    <x:t>3. Отсутствует горизонтальный скролл</x:t>
  </x:si>
  <x:si>
    <x:t>6</x:t>
  </x:si>
  <x:si>
    <x:t>Азбука Рекламы -&gt; Шапка сайта</x:t>
  </x:si>
  <x:si>
    <x:t>header, навигация</x:t>
  </x:si>
  <x:si>
    <x:t>1. Проверить наличие тега header</x:t>
  </x:si>
  <x:si>
    <x:t>1. Шапка сайта присутствует</x:t>
  </x:si>
  <x:si>
    <x:t>2. Убедиться в наличии логотипа</x:t>
  </x:si>
  <x:si>
    <x:t>2. Логотип отображается корректно</x:t>
  </x:si>
  <x:si>
    <x:t>3. Кликнуть на логотип</x:t>
  </x:si>
  <x:si>
    <x:t>3. Клик по логотипу ведет на главную страницу</x:t>
  </x:si>
  <x:si>
    <x:t>7</x:t>
  </x:si>
  <x:si>
    <x:t>Азбука Рекламы -&gt; Главное меню</x:t>
  </x:si>
  <x:si>
    <x:t>menu, навигация, автотест</x:t>
  </x:si>
  <x:si>
    <x:t>1. Проверить наличие всех пунктов меню</x:t>
  </x:si>
  <x:si>
    <x:t>1. Все пункты меню присутствуют и кликабельны</x:t>
  </x:si>
  <x:si>
    <x:t>2. Навести курсор на каждый пункт</x:t>
  </x:si>
  <x:si>
    <x:t>2. При наведении меняется внешний вид</x:t>
  </x:si>
  <x:si>
    <x:t>3. Кликнуть на каждый пункт</x:t>
  </x:si>
  <x:si>
    <x:t>3. Клик ведет на соответствующие страницы</x:t>
  </x:si>
  <x:si>
    <x:t>8</x:t>
  </x:si>
  <x:si>
    <x:t>Азбука Рекламы -&gt; Меню "Услуги"</x:t>
  </x:si>
  <x:si>
    <x:t>услуги, меню, автотест</x:t>
  </x:si>
  <x:si>
    <x:t>1. Кликнуть на пункт "Услуги"</x:t>
  </x:si>
  <x:si>
    <x:t>1. Выпадающее меню отображается</x:t>
  </x:si>
  <x:si>
    <x:t>2. Проверить все подпункты (13 пунктов)</x:t>
  </x:si>
  <x:si>
    <x:t>2. Все подпункты присутствуют</x:t>
  </x:si>
  <x:si>
    <x:t>3. Проверить наличие подменю у пунктов, где они есть</x:t>
  </x:si>
  <x:si>
    <x:t>3. Подменю открываются при клике, ведут на соответствующую страницу</x:t>
  </x:si>
  <x:si>
    <x:t>9</x:t>
  </x:si>
  <x:si>
    <x:t>Азбука Рекламы -&gt; Центральный блок</x:t>
  </x:si>
  <x:si>
    <x:t>интерактив, ui</x:t>
  </x:si>
  <x:si>
    <x:t>1. Проверить наличие всех 21 элементов блока</x:t>
  </x:si>
  <x:si>
    <x:t>1. Все элементы присутствуют</x:t>
  </x:si>
  <x:si>
    <x:t>2. Навести курсор на каждый элемент</x:t>
  </x:si>
  <x:si>
    <x:t>2. При наведении подсвечиваются</x:t>
  </x:si>
  <x:si>
    <x:t>3. Кликнуть на каждый элемент</x:t>
  </x:si>
  <x:si>
    <x:t>3. Клик ведет на соответствующую страницу</x:t>
  </x:si>
  <x:si>
    <x:t>10</x:t>
  </x:si>
  <x:si>
    <x:t>Азбука Рекламы -&gt; Интерактивные элементы</x:t>
  </x:si>
  <x:si>
    <x:t>Высокий</x:t>
  </x:si>
  <x:si>
    <x:t>0h 5m 0s</x:t>
  </x:si>
  <x:si>
    <x:t>анимация, ui</x:t>
  </x:si>
  <x:si>
    <x:t>1. Найти вращающиеся кубы</x:t>
  </x:si>
  <x:si>
    <x:t>1. Кубы корректно отображаются</x:t>
  </x:si>
  <x:si>
    <x:t>2. Наблюдать за анимацией</x:t>
  </x:si>
  <x:si>
    <x:t>2. Анимация плавная,  нет лагов при вращении</x:t>
  </x:si>
  <x:si>
    <x:t>11</x:t>
  </x:si>
  <x:si>
    <x:t>Азбука Рекламы -&gt; Форма обратной связи</x:t>
  </x:si>
  <x:si>
    <x:t>Не готов</x:t>
  </x:si>
  <x:si>
    <x:t>форма, обратная_связь, автотест</x:t>
  </x:si>
  <x:si>
    <x:t>1. Найти форму "Задайте нам вопрос"</x:t>
  </x:si>
  <x:si>
    <x:t>1. Форма присутствует в правом нижнем углу</x:t>
  </x:si>
  <x:si>
    <x:t>2. Проверить наличие заголовка</x:t>
  </x:si>
  <x:si>
    <x:t>2. Заголовок "Задайте нам вопрос" отображается</x:t>
  </x:si>
  <x:si>
    <x:t>3. Развернуть форму.
Проверить все поля</x:t>
  </x:si>
  <x:si>
    <x:t>3. Присутствуют поля: Имя, Компания, Телефон, E-mail, Адрес монтажа, Сообщение</x:t>
  </x:si>
  <x:si>
    <x:t>12</x:t>
  </x:si>
  <x:si>
    <x:t>Форма обратной связи открыта</x:t>
  </x:si>
  <x:si>
    <x:t>Форма отображается корректно</x:t>
  </x:si>
  <x:si>
    <x:t>форма, валидация, автотест</x:t>
  </x:si>
  <x:si>
    <x:t>1. Ввести невалидный номер (123). Нажать "Отправить"</x:t>
  </x:si>
  <x:si>
    <x:t>1. При невалидном номере - сообщение об ошибке</x:t>
  </x:si>
  <x:si>
    <x:t>Невалидный: 123</x:t>
  </x:si>
  <x:si>
    <x:t>2. Ввести валидный номер (+7 (999) 123-45-67)</x:t>
  </x:si>
  <x:si>
    <x:t>2. При валидном - форма отправляется</x:t>
  </x:si>
  <x:si>
    <x:t>Валидный: +7 (999) 123-45-67</x:t>
  </x:si>
  <x:si>
    <x:t>13</x:t>
  </x:si>
  <x:si>
    <x:t>1. Ввести невалидный email (test). Нажать "Отправить"</x:t>
  </x:si>
  <x:si>
    <x:t>1. При невалидном email - сообщение об ошибке</x:t>
  </x:si>
  <x:si>
    <x:t>Невалидный: test</x:t>
  </x:si>
  <x:si>
    <x:t>2. Ввести валидный email (test@test.ru). Нажать "Отправить"</x:t>
  </x:si>
  <x:si>
    <x:t>Валидный: test@test.ru</x:t>
  </x:si>
  <x:si>
    <x:t>14</x:t>
  </x:si>
  <x:si>
    <x:t>Самый высокий</x:t>
  </x:si>
  <x:si>
    <x:t>форма, отправка, автотест</x:t>
  </x:si>
  <x:si>
    <x:t>1. Заполнить все поля валидными данными
Нажать "Отправить"</x:t>
  </x:si>
  <x:si>
    <x:t>1. Появляется сообщение об успешной отправке
Данные отправляются на почту</x:t>
  </x:si>
  <x:si>
    <x:t>Имя: Тест
Компания: Тест
Телефон: +7 (999) 123-45-67
Email: test@test.ru Адрес: Москва
Сообщение: Тест</x:t>
  </x:si>
  <x:si>
    <x:t>16</x:t>
  </x:si>
  <x:si>
    <x:t>форма, граничные_значения</x:t>
  </x:si>
  <x:si>
    <x:t>1. В поле "Имя" ввести 1 символ</x:t>
  </x:si>
  <x:si>
    <x:t>Система корректно обрабатывает граничные значения. Длинный текст не ломает верстку</x:t>
  </x:si>
  <x:si>
    <x:t>1 символ: "А"</x:t>
  </x:si>
  <x:si>
    <x:t>2. В поле "Имя" ввести 255 символов</x:t>
  </x:si>
  <x:si>
    <x:t>255 символов: текст из 255 символов</x:t>
  </x:si>
  <x:si>
    <x:t>3. В поле "Сообщение" ввести 1 символ</x:t>
  </x:si>
  <x:si>
    <x:t>4. В поле "Сообщение" ввести 1000+ символов</x:t>
  </x:si>
  <x:si>
    <x:t>1000+ символов: текст из 1001 символа</x:t>
  </x:si>
  <x:si>
    <x:t>17</x:t>
  </x:si>
  <x:si>
    <x:t>форма, ui</x:t>
  </x:si>
  <x:si>
    <x:t>1. Нажать на стрелочку вниз в форме</x:t>
  </x:si>
  <x:si>
    <x:t>1. Форма сворачивается в значок</x:t>
  </x:si>
  <x:si>
    <x:t>2. Нажать на значок формы</x:t>
  </x:si>
  <x:si>
    <x:t>2. При клике на значок форма разворачивается</x:t>
  </x:si>
  <x:si>
    <x:t>40</x:t>
  </x:si>
  <x:si>
    <x:t>2/26/2026 14:36:17</x:t>
  </x:si>
  <x:si>
    <x:t>безопасность, xss, автотест</x:t>
  </x:si>
  <x:si>
    <x:t>1. В поле "Имя" ввести 
2. Отправить форму</x:t>
  </x:si>
  <x:si>
    <x:t>Скрипт не выполняется. Система показывает сообщение об ошибке или экранирует ввод</x:t>
  </x:si>
  <x:si>
    <x:t>19</x:t>
  </x:si>
  <x:si>
    <x:t>безопасность, sql, автотест</x:t>
  </x:si>
  <x:si>
    <x:t>1. В поле "Имя" ввести ' OR 1=1 --
Отправить форму</x:t>
  </x:si>
  <x:si>
    <x:t>Инъекция не выполняется. Система показывает сообщение об ошибке</x:t>
  </x:si>
  <x:si>
    <x:t xml:space="preserve"> OR 1=1 --</x:t>
  </x:si>
  <x:si>
    <x:t>20</x:t>
  </x:si>
  <x:si>
    <x:t>Азбука Рекламы -&gt; Подвал сайта</x:t>
  </x:si>
  <x:si>
    <x:t>footer, контакты</x:t>
  </x:si>
  <x:si>
    <x:t>1. Прокрутить страницу вниз до подвала</x:t>
  </x:si>
  <x:si>
    <x:t>1. Подвал содержит контактные данные компании</x:t>
  </x:si>
  <x:si>
    <x:t>2. Проверить контактные данные</x:t>
  </x:si>
  <x:si>
    <x:t>2. Данные актуальны</x:t>
  </x:si>
  <x:si>
    <x:t>3. Проверить тег footer</x:t>
  </x:si>
  <x:si>
    <x:t>3. Используется тег footer</x:t>
  </x:si>
  <x:si>
    <x:t>21</x:t>
  </x:si>
  <x:si>
    <x:t>Азбука Рекламы -&gt; Безопасность</x:t>
  </x:si>
  <x:si>
    <x:t>Открыт браузер</x:t>
  </x:si>
  <x:si>
    <x:t>Браузер открыт</x:t>
  </x:si>
  <x:si>
    <x:t>безопасность, https</x:t>
  </x:si>
  <x:si>
    <x:t>1. Перейти на http://f.azbukar.beget.tech/
Проверить наличие HTTPS в адресной строке</x:t>
  </x:si>
  <x:si>
    <x:t>Сайт доступен по HTTPS. Нет ошибок Mixed Content</x:t>
  </x:si>
  <x:si>
    <x:t>22</x:t>
  </x:si>
  <x:si>
    <x:t>Азбука Рекламы -&gt; Кросс-браузерность</x:t>
  </x:si>
  <x:si>
    <x:t>Установлен Chrome</x:t>
  </x:si>
  <x:si>
    <x:t>Браузер установлен</x:t>
  </x:si>
  <x:si>
    <x:t>кроссбраузерность, chrome</x:t>
  </x:si>
  <x:si>
    <x:t>1. Открыть сайт в Chrome</x:t>
  </x:si>
  <x:si>
    <x:t>Сайт открывается</x:t>
  </x:si>
  <x:si>
    <x:t>2. Проверить все основные элементы</x:t>
  </x:si>
  <x:si>
    <x:t>Все элементы работают корректно, верстка не "плывет"</x:t>
  </x:si>
  <x:si>
    <x:t>23</x:t>
  </x:si>
  <x:si>
    <x:t>Установлен Firefox</x:t>
  </x:si>
  <x:si>
    <x:t>кроссбраузерность, firefox</x:t>
  </x:si>
  <x:si>
    <x:t>1. Открыть сайт в Firefox</x:t>
  </x:si>
  <x:si>
    <x:t>24</x:t>
  </x:si>
  <x:si>
    <x:t>Установлен Яндекс.Браузер</x:t>
  </x:si>
  <x:si>
    <x:t>кроссбраузерность, yandex</x:t>
  </x:si>
  <x:si>
    <x:t>1. Открыть сайт в Яндекс.Браузере</x:t>
  </x:si>
  <x:si>
    <x:t>25</x:t>
  </x:si>
  <x:si>
    <x:t>Азбука Рекламы -&gt; Производительность</x:t>
  </x:si>
  <x:si>
    <x:t>Открыт Chrome DevTools</x:t>
  </x:si>
  <x:si>
    <x:t>DevTools открыт</x:t>
  </x:si>
  <x:si>
    <x:t>производительность, скорость</x:t>
  </x:si>
  <x:si>
    <x:t>1. Открыть вкладку Network
Перезагрузить страницу
Замерить время загрузки</x:t>
  </x:si>
  <x:si>
    <x:t>Страница загружается не более 3 секунд</x:t>
  </x:si>
  <x:si>
    <x:t>26</x:t>
  </x:si>
  <x:si>
    <x:t>производительность, изображения</x:t>
  </x:si>
  <x:si>
    <x:t>1. Открыть вкладку Network
Перезагрузить страницу
Проверить размер всех изображений</x:t>
  </x:si>
  <x:si>
    <x:t>Размер каждого изображения не превышает 500 KB</x:t>
  </x:si>
  <x:si>
    <x:t>27</x:t>
  </x:si>
  <x:si>
    <x:t>Азбука Рекламы -&gt; SEO</x:t>
  </x:si>
  <x:si>
    <x:t>Открыт исходный код страницы</x:t>
  </x:si>
  <x:si>
    <x:t>Исходный код доступен</x:t>
  </x:si>
  <x:si>
    <x:t>seo</x:t>
  </x:si>
  <x:si>
    <x:t>1. Найти тег title
Проверить его содержимое</x:t>
  </x:si>
  <x:si>
    <x:t>Title не пустой и соответствует содержанию страницы</x:t>
  </x:si>
  <x:si>
    <x:t>28</x:t>
  </x:si>
  <x:si>
    <x:t>1. Найти тег meta name="description"
Проверить длину текста</x:t>
  </x:si>
  <x:si>
    <x:t>Description присутствует, длина 50-160 символов</x:t>
  </x:si>
  <x:si>
    <x:t>29</x:t>
  </x:si>
  <x:si>
    <x:t>seo, адаптивность</x:t>
  </x:si>
  <x:si>
    <x:t>1. Найти тег meta name="viewport"</x:t>
  </x:si>
  <x:si>
    <x:t>Тег viewport присутствует для адаптива</x:t>
  </x:si>
  <x:si>
    <x:t>30</x:t>
  </x:si>
  <x:si>
    <x:t>Открыт сайт</x:t>
  </x:si>
  <x:si>
    <x:t>Сайт доступен</x:t>
  </x:si>
  <x:si>
    <x:t>seo, микроразметка</x:t>
  </x:si>
  <x:si>
    <x:t>1. Перейти на https://validator.schema.org
Ввести URL сайта
Запустить проверку</x:t>
  </x:si>
  <x:si>
    <x:t>Микроразметка присутствует</x:t>
  </x:si>
  <x:si>
    <x:t>31</x:t>
  </x:si>
  <x:si>
    <x:t>Азбука Рекламы -&gt; Мобильная версия</x:t>
  </x:si>
  <x:si>
    <x:t>Открыты инструменты разработчика</x:t>
  </x:si>
  <x:si>
    <x:t>адаптивность, мобильная_версия</x:t>
  </x:si>
  <x:si>
    <x:t>1. Включить Device Toolbar
Выбрать разрешение 320px
Проверить отображение всех элементов</x:t>
  </x:si>
  <x:si>
    <x:t>Сайт корректно отображается, нет горизонтального скролла</x:t>
  </x:si>
  <x:si>
    <x:t>32</x:t>
  </x:si>
  <x:si>
    <x:t>адаптивность, планшет</x:t>
  </x:si>
  <x:si>
    <x:t>1. Включить Device Toolbar
Выбрать разрешение 768px
Проверить отображение всех элементов</x:t>
  </x:si>
  <x:si>
    <x:t>33</x:t>
  </x:si>
  <x:si>
    <x:t>Включен Device Toolbar (320px)</x:t>
  </x:si>
  <x:si>
    <x:t>Мобильный режим включен</x:t>
  </x:si>
  <x:si>
    <x:t>адаптивность, форма</x:t>
  </x:si>
  <x:si>
    <x:t>1. Найти форму "Задайте нам вопрос"
Проверить ее отображение и работу</x:t>
  </x:si>
  <x:si>
    <x:t>Форма отображается корректно, все поля доступны для ввода</x:t>
  </x:si>
  <x:si>
    <x:t>34</x:t>
  </x:si>
  <x:si>
    <x:t>Азбука Рекламы -&gt; Доступность</x:t>
  </x:si>
  <x:si>
    <x:t>доступность, wcag</x:t>
  </x:si>
  <x:si>
    <x:t>1. Измерить размер всех кнопок и ссылок</x:t>
  </x:si>
  <x:si>
    <x:t>Размер элементов ≥ 44px для соответствия WCAG</x:t>
  </x:si>
  <x:si>
    <x:t>35</x:t>
  </x:si>
  <x:si>
    <x:t>0h 6m 0s</x:t>
  </x:si>
  <x:si>
    <x:t>доступность, seo</x:t>
  </x:si>
  <x:si>
    <x:t>1. Найти все изображения
Проверить наличие alt атрибутов</x:t>
  </x:si>
  <x:si>
    <x:t>У всех изображений есть alt-текст</x:t>
  </x:si>
  <x:si>
    <x:t>36</x:t>
  </x:si>
  <x:si>
    <x:t>доступность, клавиатура</x:t>
  </x:si>
  <x:si>
    <x:t>1. Нажимать Tab для перемещения по элементам
Нажимать Enter для активации элементов</x:t>
  </x:si>
  <x:si>
    <x:t>Навигация с клавиатуры работает, все интерактивные элементы доступны</x:t>
  </x:si>
  <x:si>
    <x:t>37</x:t>
  </x:si>
  <x:si>
    <x:t>доступность, верстка</x:t>
  </x:si>
  <x:si>
    <x:t>1. Найти теги header, main, footer</x:t>
  </x:si>
  <x:si>
    <x:t>Используется семантическая верстка</x:t>
  </x:si>
  <x:si>
    <x:t>38</x:t>
  </x:si>
  <x:si>
    <x:t>Азбука Рекламы -&gt; Отчетность по автоматизации</x:t>
  </x:si>
  <x:si>
    <x:t>Настроен Jenkins</x:t>
  </x:si>
  <x:si>
    <x:t>Jenkins настроен</x:t>
  </x:si>
  <x:si>
    <x:t>отчетность, allure</x:t>
  </x:si>
  <x:si>
    <x:t>1. Запустить автотесты в Jenkins
Открыть сформированный отчет Allure</x:t>
  </x:si>
  <x:si>
    <x:t>Отчет Allure сформирован, содержит графики и историю прогонов</x:t>
  </x:si>
  <x:si>
    <x:t>Закрыть отчет</x:t>
  </x:si>
  <x:si>
    <x:t>Отчет закрыт</x:t>
  </x:si>
  <x:si>
    <x:t>39</x:t>
  </x:si>
  <x:si>
    <x:t>Есть доступ к Jenkins</x:t>
  </x:si>
  <x:si>
    <x:t>Доступ к Jenkins есть</x:t>
  </x:si>
  <x:si>
    <x:t>отчетность, jenkins</x:t>
  </x:si>
  <x:si>
    <x:t>1. Открыть Jenkins
Найти джобу с автотестами
Запустить джобу
Проверить статус выполнения</x:t>
  </x:si>
  <x:si>
    <x:t>Джоба запускается, тесты выполняются, статус отображается корректно</x:t>
  </x:si>
  <x:si>
    <x:t>Закрыть Jenkins</x:t>
  </x:si>
  <x:si>
    <x:t>Jenkins закрыт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</x:si>
</x:sst>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66" totalsRowShown="0">
  <x:autoFilter ref="A1:Q16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/>
    <x:tableColumn id="9" name="Тестовые данные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6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47.282054" style="2" customWidth="1"/>
    <x:col min="3" max="3" width="50.710625" style="2" customWidth="1"/>
    <x:col min="4" max="4" width="20.139196" style="1" customWidth="1"/>
    <x:col min="5" max="5" width="36.139196" style="1" customWidth="1"/>
    <x:col min="6" max="6" width="50.710625" style="1" customWidth="1"/>
    <x:col min="7" max="7" width="16.710625" style="1" customWidth="1"/>
    <x:col min="8" max="8" width="50.710625" style="1" customWidth="1"/>
    <x:col min="9" max="9" width="37.567768" style="1" customWidth="1"/>
    <x:col min="10" max="10" width="34.567768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HYPERLINK("https://team-dj20.testit.software/projects/1/tests/4", "TC-001: Проверка загрузки главной страницы")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28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29</x:v>
      </x:c>
      <x:c r="G4" s="1" t="s">
        <x:v>20</x:v>
      </x:c>
      <x:c r="H4" s="1" t="s">
        <x:v>30</x:v>
      </x:c>
      <x:c r="I4" s="1" t="s">
        <x:v>20</x:v>
      </x:c>
      <x:c r="J4" s="1" t="s">
        <x:v>28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31</x:v>
      </x:c>
      <x:c r="G5" s="1" t="s">
        <x:v>20</x:v>
      </x:c>
      <x:c r="H5" s="1" t="s">
        <x:v>32</x:v>
      </x:c>
      <x:c r="I5" s="1" t="s">
        <x:v>20</x:v>
      </x:c>
      <x:c r="J5" s="1" t="s">
        <x:v>28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20</x:v>
      </x:c>
      <x:c r="G6" s="1" t="s">
        <x:v>33</x:v>
      </x:c>
      <x:c r="H6" s="1" t="s">
        <x:v>34</x:v>
      </x:c>
      <x:c r="I6" s="1" t="s">
        <x:v>20</x:v>
      </x:c>
      <x:c r="J6" s="1" t="s">
        <x:v>28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35</x:v>
      </x:c>
      <x:c r="B7" s="2" t="s">
        <x:v>18</x:v>
      </x:c>
      <x:c r="C7" s="2">
        <x:f>HYPERLINK("https://team-dj20.testit.software/projects/1/tests/5", "TC-002: Проверка отображения элементов главной страницы")</x:f>
      </x:c>
      <x:c r="D7" s="1" t="s">
        <x:v>19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36</x:v>
      </x:c>
      <x:c r="M7" s="1" t="s">
        <x:v>22</x:v>
      </x:c>
      <x:c r="N7" s="1" t="s">
        <x:v>23</x:v>
      </x:c>
      <x:c r="O7" s="1" t="s">
        <x:v>24</x:v>
      </x:c>
      <x:c r="P7" s="1" t="s">
        <x:v>25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37</x:v>
      </x:c>
      <x:c r="F8" s="1" t="s">
        <x:v>20</x:v>
      </x:c>
      <x:c r="G8" s="1" t="s">
        <x:v>20</x:v>
      </x:c>
      <x:c r="H8" s="1" t="s">
        <x:v>38</x:v>
      </x:c>
      <x:c r="I8" s="1" t="s">
        <x:v>20</x:v>
      </x:c>
      <x:c r="J8" s="1" t="s">
        <x:v>39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40</x:v>
      </x:c>
      <x:c r="G9" s="1" t="s">
        <x:v>20</x:v>
      </x:c>
      <x:c r="H9" s="1" t="s">
        <x:v>41</x:v>
      </x:c>
      <x:c r="I9" s="1" t="s">
        <x:v>20</x:v>
      </x:c>
      <x:c r="J9" s="1" t="s">
        <x:v>39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42</x:v>
      </x:c>
      <x:c r="G10" s="1" t="s">
        <x:v>20</x:v>
      </x:c>
      <x:c r="H10" s="1" t="s">
        <x:v>43</x:v>
      </x:c>
      <x:c r="I10" s="1" t="s">
        <x:v>20</x:v>
      </x:c>
      <x:c r="J10" s="1" t="s">
        <x:v>39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44</x:v>
      </x:c>
      <x:c r="G11" s="1" t="s">
        <x:v>20</x:v>
      </x:c>
      <x:c r="H11" s="1" t="s">
        <x:v>45</x:v>
      </x:c>
      <x:c r="I11" s="1" t="s">
        <x:v>20</x:v>
      </x:c>
      <x:c r="J11" s="1" t="s">
        <x:v>39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20</x:v>
      </x:c>
      <x:c r="G12" s="1" t="s">
        <x:v>33</x:v>
      </x:c>
      <x:c r="H12" s="1" t="s">
        <x:v>34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46</x:v>
      </x:c>
      <x:c r="B13" s="2" t="s">
        <x:v>47</x:v>
      </x:c>
      <x:c r="C13" s="2">
        <x:f>HYPERLINK("https://team-dj20.testit.software/projects/1/tests/6", "TC-003: Проверка шапки сайта")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22</x:v>
      </x:c>
      <x:c r="N13" s="1" t="s">
        <x:v>23</x:v>
      </x:c>
      <x:c r="O13" s="1" t="s">
        <x:v>24</x:v>
      </x:c>
      <x:c r="P13" s="1" t="s">
        <x:v>25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37</x:v>
      </x:c>
      <x:c r="F14" s="1" t="s">
        <x:v>20</x:v>
      </x:c>
      <x:c r="G14" s="1" t="s">
        <x:v>20</x:v>
      </x:c>
      <x:c r="H14" s="1" t="s">
        <x:v>38</x:v>
      </x:c>
      <x:c r="I14" s="1" t="s">
        <x:v>20</x:v>
      </x:c>
      <x:c r="J14" s="1" t="s">
        <x:v>48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49</x:v>
      </x:c>
      <x:c r="G15" s="1" t="s">
        <x:v>20</x:v>
      </x:c>
      <x:c r="H15" s="1" t="s">
        <x:v>50</x:v>
      </x:c>
      <x:c r="I15" s="1" t="s">
        <x:v>20</x:v>
      </x:c>
      <x:c r="J15" s="1" t="s">
        <x:v>48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51</x:v>
      </x:c>
      <x:c r="G16" s="1" t="s">
        <x:v>20</x:v>
      </x:c>
      <x:c r="H16" s="1" t="s">
        <x:v>52</x:v>
      </x:c>
      <x:c r="I16" s="1" t="s">
        <x:v>20</x:v>
      </x:c>
      <x:c r="J16" s="1" t="s">
        <x:v>48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53</x:v>
      </x:c>
      <x:c r="G17" s="1" t="s">
        <x:v>20</x:v>
      </x:c>
      <x:c r="H17" s="1" t="s">
        <x:v>54</x:v>
      </x:c>
      <x:c r="I17" s="1" t="s">
        <x:v>20</x:v>
      </x:c>
      <x:c r="J17" s="1" t="s">
        <x:v>48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20</x:v>
      </x:c>
      <x:c r="G18" s="1" t="s">
        <x:v>33</x:v>
      </x:c>
      <x:c r="H18" s="1" t="s">
        <x:v>34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55</x:v>
      </x:c>
      <x:c r="B19" s="2" t="s">
        <x:v>56</x:v>
      </x:c>
      <x:c r="C19" s="2">
        <x:f>HYPERLINK("https://team-dj20.testit.software/projects/1/tests/7", "TC-004: Проверка главного меню")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22</x:v>
      </x:c>
      <x:c r="N19" s="1" t="s">
        <x:v>23</x:v>
      </x:c>
      <x:c r="O19" s="1" t="s">
        <x:v>24</x:v>
      </x:c>
      <x:c r="P19" s="1" t="s">
        <x:v>25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37</x:v>
      </x:c>
      <x:c r="F20" s="1" t="s">
        <x:v>20</x:v>
      </x:c>
      <x:c r="G20" s="1" t="s">
        <x:v>20</x:v>
      </x:c>
      <x:c r="H20" s="1" t="s">
        <x:v>38</x:v>
      </x:c>
      <x:c r="I20" s="1" t="s">
        <x:v>20</x:v>
      </x:c>
      <x:c r="J20" s="1" t="s">
        <x:v>57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58</x:v>
      </x:c>
      <x:c r="G21" s="1" t="s">
        <x:v>20</x:v>
      </x:c>
      <x:c r="H21" s="1" t="s">
        <x:v>59</x:v>
      </x:c>
      <x:c r="I21" s="1" t="s">
        <x:v>20</x:v>
      </x:c>
      <x:c r="J21" s="1" t="s">
        <x:v>57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60</x:v>
      </x:c>
      <x:c r="G22" s="1" t="s">
        <x:v>20</x:v>
      </x:c>
      <x:c r="H22" s="1" t="s">
        <x:v>61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62</x:v>
      </x:c>
      <x:c r="G23" s="1" t="s">
        <x:v>20</x:v>
      </x:c>
      <x:c r="H23" s="1" t="s">
        <x:v>63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20</x:v>
      </x:c>
      <x:c r="G24" s="1" t="s">
        <x:v>33</x:v>
      </x:c>
      <x:c r="H24" s="1" t="s">
        <x:v>34</x:v>
      </x:c>
      <x:c r="I24" s="1" t="s">
        <x:v>20</x:v>
      </x:c>
      <x:c r="J24" s="1" t="s">
        <x:v>57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64</x:v>
      </x:c>
      <x:c r="B25" s="2" t="s">
        <x:v>65</x:v>
      </x:c>
      <x:c r="C25" s="2">
        <x:f>HYPERLINK("https://team-dj20.testit.software/projects/1/tests/8", "TC-005: Проверка выпадающего меню ""Услуги""")</x:f>
      </x:c>
      <x:c r="D25" s="1" t="s">
        <x:v>19</x:v>
      </x:c>
      <x:c r="E25" s="1" t="s">
        <x:v>20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21</x:v>
      </x:c>
      <x:c r="M25" s="1" t="s">
        <x:v>22</x:v>
      </x:c>
      <x:c r="N25" s="1" t="s">
        <x:v>23</x:v>
      </x:c>
      <x:c r="O25" s="1" t="s">
        <x:v>24</x:v>
      </x:c>
      <x:c r="P25" s="1" t="s">
        <x:v>25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37</x:v>
      </x:c>
      <x:c r="F26" s="1" t="s">
        <x:v>20</x:v>
      </x:c>
      <x:c r="G26" s="1" t="s">
        <x:v>20</x:v>
      </x:c>
      <x:c r="H26" s="1" t="s">
        <x:v>38</x:v>
      </x:c>
      <x:c r="I26" s="1" t="s">
        <x:v>20</x:v>
      </x:c>
      <x:c r="J26" s="1" t="s">
        <x:v>66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67</x:v>
      </x:c>
      <x:c r="G27" s="1" t="s">
        <x:v>20</x:v>
      </x:c>
      <x:c r="H27" s="1" t="s">
        <x:v>68</x:v>
      </x:c>
      <x:c r="I27" s="1" t="s">
        <x:v>20</x:v>
      </x:c>
      <x:c r="J27" s="1" t="s">
        <x:v>66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69</x:v>
      </x:c>
      <x:c r="G28" s="1" t="s">
        <x:v>20</x:v>
      </x:c>
      <x:c r="H28" s="1" t="s">
        <x:v>70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71</x:v>
      </x:c>
      <x:c r="G29" s="1" t="s">
        <x:v>20</x:v>
      </x:c>
      <x:c r="H29" s="1" t="s">
        <x:v>72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20</x:v>
      </x:c>
      <x:c r="G30" s="1" t="s">
        <x:v>33</x:v>
      </x:c>
      <x:c r="H30" s="1" t="s">
        <x:v>34</x:v>
      </x:c>
      <x:c r="I30" s="1" t="s">
        <x:v>20</x:v>
      </x:c>
      <x:c r="J30" s="1" t="s">
        <x:v>66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73</x:v>
      </x:c>
      <x:c r="B31" s="2" t="s">
        <x:v>74</x:v>
      </x:c>
      <x:c r="C31" s="2">
        <x:f>HYPERLINK("https://team-dj20.testit.software/projects/1/tests/9", "TC-006: Проверка центрального блока с интерактивными элементами")</x:f>
      </x:c>
      <x:c r="D31" s="1" t="s">
        <x:v>19</x:v>
      </x:c>
      <x:c r="E31" s="1" t="s">
        <x:v>20</x:v>
      </x:c>
      <x:c r="F31" s="1" t="s">
        <x:v>20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36</x:v>
      </x:c>
      <x:c r="M31" s="1" t="s">
        <x:v>22</x:v>
      </x:c>
      <x:c r="N31" s="1" t="s">
        <x:v>23</x:v>
      </x:c>
      <x:c r="O31" s="1" t="s">
        <x:v>24</x:v>
      </x:c>
      <x:c r="P31" s="1" t="s">
        <x:v>25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37</x:v>
      </x:c>
      <x:c r="F32" s="1" t="s">
        <x:v>20</x:v>
      </x:c>
      <x:c r="G32" s="1" t="s">
        <x:v>20</x:v>
      </x:c>
      <x:c r="H32" s="1" t="s">
        <x:v>38</x:v>
      </x:c>
      <x:c r="I32" s="1" t="s">
        <x:v>20</x:v>
      </x:c>
      <x:c r="J32" s="1" t="s">
        <x:v>75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76</x:v>
      </x:c>
      <x:c r="G33" s="1" t="s">
        <x:v>20</x:v>
      </x:c>
      <x:c r="H33" s="1" t="s">
        <x:v>77</x:v>
      </x:c>
      <x:c r="I33" s="1" t="s">
        <x:v>20</x:v>
      </x:c>
      <x:c r="J33" s="1" t="s">
        <x:v>75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78</x:v>
      </x:c>
      <x:c r="G34" s="1" t="s">
        <x:v>20</x:v>
      </x:c>
      <x:c r="H34" s="1" t="s">
        <x:v>79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80</x:v>
      </x:c>
      <x:c r="G35" s="1" t="s">
        <x:v>20</x:v>
      </x:c>
      <x:c r="H35" s="1" t="s">
        <x:v>81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20</x:v>
      </x:c>
      <x:c r="G36" s="1" t="s">
        <x:v>33</x:v>
      </x:c>
      <x:c r="H36" s="1" t="s">
        <x:v>34</x:v>
      </x:c>
      <x:c r="I36" s="1" t="s">
        <x:v>20</x:v>
      </x:c>
      <x:c r="J36" s="1" t="s">
        <x:v>75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82</x:v>
      </x:c>
      <x:c r="B37" s="2" t="s">
        <x:v>83</x:v>
      </x:c>
      <x:c r="C37" s="2">
        <x:f>HYPERLINK("https://team-dj20.testit.software/projects/1/tests/10", "TC-007: Проверка интерактивных элементов (вращающиеся кубы)")</x:f>
      </x:c>
      <x:c r="D37" s="1" t="s">
        <x:v>19</x:v>
      </x:c>
      <x:c r="E37" s="1" t="s">
        <x:v>20</x:v>
      </x:c>
      <x:c r="F37" s="1" t="s">
        <x:v>20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84</x:v>
      </x:c>
      <x:c r="M37" s="1" t="s">
        <x:v>22</x:v>
      </x:c>
      <x:c r="N37" s="1" t="s">
        <x:v>23</x:v>
      </x:c>
      <x:c r="O37" s="1" t="s">
        <x:v>24</x:v>
      </x:c>
      <x:c r="P37" s="1" t="s">
        <x:v>85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37</x:v>
      </x:c>
      <x:c r="F38" s="1" t="s">
        <x:v>20</x:v>
      </x:c>
      <x:c r="G38" s="1" t="s">
        <x:v>20</x:v>
      </x:c>
      <x:c r="H38" s="1" t="s">
        <x:v>38</x:v>
      </x:c>
      <x:c r="I38" s="1" t="s">
        <x:v>20</x:v>
      </x:c>
      <x:c r="J38" s="1" t="s">
        <x:v>86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87</x:v>
      </x:c>
      <x:c r="G39" s="1" t="s">
        <x:v>20</x:v>
      </x:c>
      <x:c r="H39" s="1" t="s">
        <x:v>88</x:v>
      </x:c>
      <x:c r="I39" s="1" t="s">
        <x:v>20</x:v>
      </x:c>
      <x:c r="J39" s="1" t="s">
        <x:v>86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89</x:v>
      </x:c>
      <x:c r="G40" s="1" t="s">
        <x:v>20</x:v>
      </x:c>
      <x:c r="H40" s="1" t="s">
        <x:v>90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20</x:v>
      </x:c>
      <x:c r="G41" s="1" t="s">
        <x:v>33</x:v>
      </x:c>
      <x:c r="H41" s="1" t="s">
        <x:v>34</x:v>
      </x:c>
      <x:c r="I41" s="1" t="s">
        <x:v>20</x:v>
      </x:c>
      <x:c r="J41" s="1" t="s">
        <x:v>86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91</x:v>
      </x:c>
      <x:c r="B42" s="2" t="s">
        <x:v>92</x:v>
      </x:c>
      <x:c r="C42" s="2">
        <x:f>HYPERLINK("https://team-dj20.testit.software/projects/1/tests/11", "TC-008: Проверка наличия формы обратной связи")</x:f>
      </x:c>
      <x:c r="D42" s="1" t="s">
        <x:v>19</x:v>
      </x:c>
      <x:c r="E42" s="1" t="s">
        <x:v>20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21</x:v>
      </x:c>
      <x:c r="M42" s="1" t="s">
        <x:v>93</x:v>
      </x:c>
      <x:c r="N42" s="1" t="s">
        <x:v>23</x:v>
      </x:c>
      <x:c r="O42" s="1" t="s">
        <x:v>24</x:v>
      </x:c>
      <x:c r="P42" s="1" t="s">
        <x:v>25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37</x:v>
      </x:c>
      <x:c r="F43" s="1" t="s">
        <x:v>20</x:v>
      </x:c>
      <x:c r="G43" s="1" t="s">
        <x:v>20</x:v>
      </x:c>
      <x:c r="H43" s="1" t="s">
        <x:v>38</x:v>
      </x:c>
      <x:c r="I43" s="1" t="s">
        <x:v>20</x:v>
      </x:c>
      <x:c r="J43" s="1" t="s">
        <x:v>94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95</x:v>
      </x:c>
      <x:c r="G44" s="1" t="s">
        <x:v>20</x:v>
      </x:c>
      <x:c r="H44" s="1" t="s">
        <x:v>96</x:v>
      </x:c>
      <x:c r="I44" s="1" t="s">
        <x:v>20</x:v>
      </x:c>
      <x:c r="J44" s="1" t="s">
        <x:v>94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97</x:v>
      </x:c>
      <x:c r="G45" s="1" t="s">
        <x:v>20</x:v>
      </x:c>
      <x:c r="H45" s="1" t="s">
        <x:v>98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2" t="s">
        <x:v>99</x:v>
      </x:c>
      <x:c r="G46" s="1" t="s">
        <x:v>20</x:v>
      </x:c>
      <x:c r="H46" s="1" t="s">
        <x:v>100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20</x:v>
      </x:c>
      <x:c r="G47" s="1" t="s">
        <x:v>33</x:v>
      </x:c>
      <x:c r="H47" s="1" t="s">
        <x:v>34</x:v>
      </x:c>
      <x:c r="I47" s="1" t="s">
        <x:v>20</x:v>
      </x:c>
      <x:c r="J47" s="1" t="s">
        <x:v>94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101</x:v>
      </x:c>
      <x:c r="B48" s="2" t="s">
        <x:v>92</x:v>
      </x:c>
      <x:c r="C48" s="2">
        <x:f>HYPERLINK("https://team-dj20.testit.software/projects/1/tests/12", "TC-009: Проверка валидации поля ""Телефон""")</x:f>
      </x:c>
      <x:c r="D48" s="1" t="s">
        <x:v>19</x:v>
      </x:c>
      <x:c r="E48" s="1" t="s">
        <x:v>20</x:v>
      </x:c>
      <x:c r="F48" s="1" t="s">
        <x:v>20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21</x:v>
      </x:c>
      <x:c r="M48" s="1" t="s">
        <x:v>93</x:v>
      </x:c>
      <x:c r="N48" s="1" t="s">
        <x:v>23</x:v>
      </x:c>
      <x:c r="O48" s="1" t="s">
        <x:v>24</x:v>
      </x:c>
      <x:c r="P48" s="1" t="s">
        <x:v>25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102</x:v>
      </x:c>
      <x:c r="F49" s="1" t="s">
        <x:v>20</x:v>
      </x:c>
      <x:c r="G49" s="1" t="s">
        <x:v>20</x:v>
      </x:c>
      <x:c r="H49" s="1" t="s">
        <x:v>103</x:v>
      </x:c>
      <x:c r="I49" s="1" t="s">
        <x:v>20</x:v>
      </x:c>
      <x:c r="J49" s="1" t="s">
        <x:v>104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105</x:v>
      </x:c>
      <x:c r="G50" s="1" t="s">
        <x:v>20</x:v>
      </x:c>
      <x:c r="H50" s="1" t="s">
        <x:v>106</x:v>
      </x:c>
      <x:c r="I50" s="1" t="s">
        <x:v>107</x:v>
      </x:c>
      <x:c r="J50" s="1" t="s">
        <x:v>104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108</x:v>
      </x:c>
      <x:c r="G51" s="1" t="s">
        <x:v>20</x:v>
      </x:c>
      <x:c r="H51" s="1" t="s">
        <x:v>109</x:v>
      </x:c>
      <x:c r="I51" s="1" t="s">
        <x:v>110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20</x:v>
      </x:c>
      <x:c r="G52" s="1" t="s">
        <x:v>33</x:v>
      </x:c>
      <x:c r="H52" s="1" t="s">
        <x:v>34</x:v>
      </x:c>
      <x:c r="I52" s="1" t="s">
        <x:v>20</x:v>
      </x:c>
      <x:c r="J52" s="1" t="s">
        <x:v>104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111</x:v>
      </x:c>
      <x:c r="B53" s="2" t="s">
        <x:v>92</x:v>
      </x:c>
      <x:c r="C53" s="2">
        <x:f>HYPERLINK("https://team-dj20.testit.software/projects/1/tests/13", "TC-010: Проверка валидации поля ""E-mail""")</x:f>
      </x:c>
      <x:c r="D53" s="1" t="s">
        <x:v>19</x:v>
      </x:c>
      <x:c r="E53" s="1" t="s">
        <x:v>20</x:v>
      </x:c>
      <x:c r="F53" s="1" t="s">
        <x:v>20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21</x:v>
      </x:c>
      <x:c r="M53" s="1" t="s">
        <x:v>93</x:v>
      </x:c>
      <x:c r="N53" s="1" t="s">
        <x:v>23</x:v>
      </x:c>
      <x:c r="O53" s="1" t="s">
        <x:v>24</x:v>
      </x:c>
      <x:c r="P53" s="1" t="s">
        <x:v>25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102</x:v>
      </x:c>
      <x:c r="F54" s="1" t="s">
        <x:v>20</x:v>
      </x:c>
      <x:c r="G54" s="1" t="s">
        <x:v>20</x:v>
      </x:c>
      <x:c r="H54" s="1" t="s">
        <x:v>103</x:v>
      </x:c>
      <x:c r="I54" s="1" t="s">
        <x:v>20</x:v>
      </x:c>
      <x:c r="J54" s="1" t="s">
        <x:v>104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112</x:v>
      </x:c>
      <x:c r="G55" s="1" t="s">
        <x:v>20</x:v>
      </x:c>
      <x:c r="H55" s="1" t="s">
        <x:v>113</x:v>
      </x:c>
      <x:c r="I55" s="1" t="s">
        <x:v>114</x:v>
      </x:c>
      <x:c r="J55" s="1" t="s">
        <x:v>104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115</x:v>
      </x:c>
      <x:c r="G56" s="1" t="s">
        <x:v>20</x:v>
      </x:c>
      <x:c r="H56" s="1" t="s">
        <x:v>109</x:v>
      </x:c>
      <x:c r="I56" s="1" t="s">
        <x:v>116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20</x:v>
      </x:c>
      <x:c r="G57" s="1" t="s">
        <x:v>33</x:v>
      </x:c>
      <x:c r="H57" s="1" t="s">
        <x:v>34</x:v>
      </x:c>
      <x:c r="I57" s="1" t="s">
        <x:v>20</x:v>
      </x:c>
      <x:c r="J57" s="1" t="s">
        <x:v>104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117</x:v>
      </x:c>
      <x:c r="B58" s="2" t="s">
        <x:v>92</x:v>
      </x:c>
      <x:c r="C58" s="2">
        <x:f>HYPERLINK("https://team-dj20.testit.software/projects/1/tests/14", "TC-011: Проверка отправки формы с корректными данными")</x:f>
      </x:c>
      <x:c r="D58" s="1" t="s">
        <x:v>19</x:v>
      </x:c>
      <x:c r="E58" s="1" t="s">
        <x:v>20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118</x:v>
      </x:c>
      <x:c r="M58" s="1" t="s">
        <x:v>93</x:v>
      </x:c>
      <x:c r="N58" s="1" t="s">
        <x:v>23</x:v>
      </x:c>
      <x:c r="O58" s="1" t="s">
        <x:v>24</x:v>
      </x:c>
      <x:c r="P58" s="1" t="s">
        <x:v>25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102</x:v>
      </x:c>
      <x:c r="F59" s="1" t="s">
        <x:v>20</x:v>
      </x:c>
      <x:c r="G59" s="1" t="s">
        <x:v>20</x:v>
      </x:c>
      <x:c r="H59" s="1" t="s">
        <x:v>103</x:v>
      </x:c>
      <x:c r="I59" s="1" t="s">
        <x:v>20</x:v>
      </x:c>
      <x:c r="J59" s="1" t="s">
        <x:v>119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2" t="s">
        <x:v>120</x:v>
      </x:c>
      <x:c r="G60" s="1" t="s">
        <x:v>20</x:v>
      </x:c>
      <x:c r="H60" s="2" t="s">
        <x:v>121</x:v>
      </x:c>
      <x:c r="I60" s="2" t="s">
        <x:v>122</x:v>
      </x:c>
      <x:c r="J60" s="1" t="s">
        <x:v>119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20</x:v>
      </x:c>
      <x:c r="G61" s="1" t="s">
        <x:v>33</x:v>
      </x:c>
      <x:c r="H61" s="1" t="s">
        <x:v>34</x:v>
      </x:c>
      <x:c r="I61" s="1" t="s">
        <x:v>20</x:v>
      </x:c>
      <x:c r="J61" s="1" t="s">
        <x:v>119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123</x:v>
      </x:c>
      <x:c r="B62" s="2" t="s">
        <x:v>92</x:v>
      </x:c>
      <x:c r="C62" s="2">
        <x:f>HYPERLINK("https://team-dj20.testit.software/projects/1/tests/16", "TC-013: Проверка граничных значений полей")</x:f>
      </x:c>
      <x:c r="D62" s="1" t="s">
        <x:v>19</x:v>
      </x:c>
      <x:c r="E62" s="1" t="s">
        <x:v>20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36</x:v>
      </x:c>
      <x:c r="M62" s="1" t="s">
        <x:v>93</x:v>
      </x:c>
      <x:c r="N62" s="1" t="s">
        <x:v>23</x:v>
      </x:c>
      <x:c r="O62" s="1" t="s">
        <x:v>24</x:v>
      </x:c>
      <x:c r="P62" s="1" t="s">
        <x:v>25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102</x:v>
      </x:c>
      <x:c r="F63" s="1" t="s">
        <x:v>20</x:v>
      </x:c>
      <x:c r="G63" s="1" t="s">
        <x:v>20</x:v>
      </x:c>
      <x:c r="H63" s="1" t="s">
        <x:v>103</x:v>
      </x:c>
      <x:c r="I63" s="1" t="s">
        <x:v>20</x:v>
      </x:c>
      <x:c r="J63" s="1" t="s">
        <x:v>124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125</x:v>
      </x:c>
      <x:c r="G64" s="1" t="s">
        <x:v>20</x:v>
      </x:c>
      <x:c r="H64" s="1" t="s">
        <x:v>126</x:v>
      </x:c>
      <x:c r="I64" s="1" t="s">
        <x:v>127</x:v>
      </x:c>
      <x:c r="J64" s="1" t="s">
        <x:v>124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128</x:v>
      </x:c>
      <x:c r="G65" s="1" t="s">
        <x:v>20</x:v>
      </x:c>
      <x:c r="H65" s="1" t="s">
        <x:v>126</x:v>
      </x:c>
      <x:c r="I65" s="1" t="s">
        <x:v>129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130</x:v>
      </x:c>
      <x:c r="G66" s="1" t="s">
        <x:v>20</x:v>
      </x:c>
      <x:c r="H66" s="1" t="s">
        <x:v>126</x:v>
      </x:c>
      <x:c r="I66" s="1" t="s">
        <x:v>127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131</x:v>
      </x:c>
      <x:c r="G67" s="1" t="s">
        <x:v>20</x:v>
      </x:c>
      <x:c r="H67" s="1" t="s">
        <x:v>126</x:v>
      </x:c>
      <x:c r="I67" s="1" t="s">
        <x:v>132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20</x:v>
      </x:c>
      <x:c r="G68" s="1" t="s">
        <x:v>33</x:v>
      </x:c>
      <x:c r="H68" s="1" t="s">
        <x:v>34</x:v>
      </x:c>
      <x:c r="I68" s="1" t="s">
        <x:v>20</x:v>
      </x:c>
      <x:c r="J68" s="1" t="s">
        <x:v>124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133</x:v>
      </x:c>
      <x:c r="B69" s="2" t="s">
        <x:v>92</x:v>
      </x:c>
      <x:c r="C69" s="2">
        <x:f>HYPERLINK("https://team-dj20.testit.software/projects/1/tests/17", "TC-014: Проверка функциональности кнопки ""Свернуть форму""")</x:f>
      </x:c>
      <x:c r="D69" s="1" t="s">
        <x:v>19</x:v>
      </x:c>
      <x:c r="E69" s="1" t="s">
        <x:v>20</x:v>
      </x:c>
      <x:c r="F69" s="1" t="s">
        <x:v>20</x:v>
      </x:c>
      <x:c r="G69" s="1" t="s">
        <x:v>20</x:v>
      </x:c>
      <x:c r="H69" s="1" t="s">
        <x:v>20</x:v>
      </x:c>
      <x:c r="I69" s="1" t="s">
        <x:v>20</x:v>
      </x:c>
      <x:c r="J69" s="1" t="s">
        <x:v>20</x:v>
      </x:c>
      <x:c r="K69" s="1" t="s">
        <x:v>20</x:v>
      </x:c>
      <x:c r="L69" s="1" t="s">
        <x:v>84</x:v>
      </x:c>
      <x:c r="M69" s="1" t="s">
        <x:v>93</x:v>
      </x:c>
      <x:c r="N69" s="1" t="s">
        <x:v>23</x:v>
      </x:c>
      <x:c r="O69" s="1" t="s">
        <x:v>24</x:v>
      </x:c>
      <x:c r="P69" s="1" t="s">
        <x:v>25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102</x:v>
      </x:c>
      <x:c r="F70" s="1" t="s">
        <x:v>20</x:v>
      </x:c>
      <x:c r="G70" s="1" t="s">
        <x:v>20</x:v>
      </x:c>
      <x:c r="H70" s="1" t="s">
        <x:v>103</x:v>
      </x:c>
      <x:c r="I70" s="1" t="s">
        <x:v>20</x:v>
      </x:c>
      <x:c r="J70" s="1" t="s">
        <x:v>134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135</x:v>
      </x:c>
      <x:c r="G71" s="1" t="s">
        <x:v>20</x:v>
      </x:c>
      <x:c r="H71" s="1" t="s">
        <x:v>136</x:v>
      </x:c>
      <x:c r="I71" s="1" t="s">
        <x:v>20</x:v>
      </x:c>
      <x:c r="J71" s="1" t="s">
        <x:v>134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137</x:v>
      </x:c>
      <x:c r="G72" s="1" t="s">
        <x:v>20</x:v>
      </x:c>
      <x:c r="H72" s="1" t="s">
        <x:v>138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20</x:v>
      </x:c>
      <x:c r="G73" s="1" t="s">
        <x:v>33</x:v>
      </x:c>
      <x:c r="H73" s="1" t="s">
        <x:v>34</x:v>
      </x:c>
      <x:c r="I73" s="1" t="s">
        <x:v>20</x:v>
      </x:c>
      <x:c r="J73" s="1" t="s">
        <x:v>134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139</x:v>
      </x:c>
      <x:c r="B74" s="2" t="s">
        <x:v>92</x:v>
      </x:c>
      <x:c r="C74" s="2">
        <x:f>HYPERLINK("https://team-dj20.testit.software/projects/1/tests/40", "TC-015: Проверка защиты от XSS-атак")</x:f>
      </x:c>
      <x:c r="D74" s="1" t="s">
        <x:v>19</x:v>
      </x:c>
      <x:c r="E74" s="1" t="s">
        <x:v>20</x:v>
      </x:c>
      <x:c r="F74" s="1" t="s">
        <x:v>20</x:v>
      </x:c>
      <x:c r="G74" s="1" t="s">
        <x:v>20</x:v>
      </x:c>
      <x:c r="H74" s="1" t="s">
        <x:v>20</x:v>
      </x:c>
      <x:c r="I74" s="1" t="s">
        <x:v>20</x:v>
      </x:c>
      <x:c r="J74" s="1" t="s">
        <x:v>20</x:v>
      </x:c>
      <x:c r="K74" s="1" t="s">
        <x:v>20</x:v>
      </x:c>
      <x:c r="L74" s="1" t="s">
        <x:v>118</x:v>
      </x:c>
      <x:c r="M74" s="1" t="s">
        <x:v>93</x:v>
      </x:c>
      <x:c r="N74" s="1" t="s">
        <x:v>140</x:v>
      </x:c>
      <x:c r="O74" s="1" t="s">
        <x:v>24</x:v>
      </x:c>
      <x:c r="P74" s="1" t="s">
        <x:v>25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102</x:v>
      </x:c>
      <x:c r="F75" s="1" t="s">
        <x:v>20</x:v>
      </x:c>
      <x:c r="G75" s="1" t="s">
        <x:v>20</x:v>
      </x:c>
      <x:c r="H75" s="1" t="s">
        <x:v>103</x:v>
      </x:c>
      <x:c r="I75" s="1" t="s">
        <x:v>20</x:v>
      </x:c>
      <x:c r="J75" s="1" t="s">
        <x:v>141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2" t="s">
        <x:v>142</x:v>
      </x:c>
      <x:c r="G76" s="1" t="s">
        <x:v>20</x:v>
      </x:c>
      <x:c r="H76" s="1" t="s">
        <x:v>143</x:v>
      </x:c>
      <x:c r="I76" s="1" t="s">
        <x:v>20</x:v>
      </x:c>
      <x:c r="J76" s="1" t="s">
        <x:v>141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20</x:v>
      </x:c>
      <x:c r="G77" s="1" t="s">
        <x:v>33</x:v>
      </x:c>
      <x:c r="H77" s="1" t="s">
        <x:v>34</x:v>
      </x:c>
      <x:c r="I77" s="1" t="s">
        <x:v>20</x:v>
      </x:c>
      <x:c r="J77" s="1" t="s">
        <x:v>141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144</x:v>
      </x:c>
      <x:c r="B78" s="2" t="s">
        <x:v>92</x:v>
      </x:c>
      <x:c r="C78" s="2">
        <x:f>HYPERLINK("https://team-dj20.testit.software/projects/1/tests/19", "TC-016: Проверка защиты от SQL-инъекций")</x:f>
      </x:c>
      <x:c r="D78" s="1" t="s">
        <x:v>19</x:v>
      </x:c>
      <x:c r="E78" s="1" t="s">
        <x:v>20</x:v>
      </x:c>
      <x:c r="F78" s="1" t="s">
        <x:v>20</x:v>
      </x:c>
      <x:c r="G78" s="1" t="s">
        <x:v>20</x:v>
      </x:c>
      <x:c r="H78" s="1" t="s">
        <x:v>20</x:v>
      </x:c>
      <x:c r="I78" s="1" t="s">
        <x:v>20</x:v>
      </x:c>
      <x:c r="J78" s="1" t="s">
        <x:v>20</x:v>
      </x:c>
      <x:c r="K78" s="1" t="s">
        <x:v>20</x:v>
      </x:c>
      <x:c r="L78" s="1" t="s">
        <x:v>118</x:v>
      </x:c>
      <x:c r="M78" s="1" t="s">
        <x:v>93</x:v>
      </x:c>
      <x:c r="N78" s="1" t="s">
        <x:v>23</x:v>
      </x:c>
      <x:c r="O78" s="1" t="s">
        <x:v>24</x:v>
      </x:c>
      <x:c r="P78" s="1" t="s">
        <x:v>25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102</x:v>
      </x:c>
      <x:c r="F79" s="1" t="s">
        <x:v>20</x:v>
      </x:c>
      <x:c r="G79" s="1" t="s">
        <x:v>20</x:v>
      </x:c>
      <x:c r="H79" s="1" t="s">
        <x:v>103</x:v>
      </x:c>
      <x:c r="I79" s="1" t="s">
        <x:v>20</x:v>
      </x:c>
      <x:c r="J79" s="1" t="s">
        <x:v>145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2" t="s">
        <x:v>146</x:v>
      </x:c>
      <x:c r="G80" s="1" t="s">
        <x:v>20</x:v>
      </x:c>
      <x:c r="H80" s="1" t="s">
        <x:v>147</x:v>
      </x:c>
      <x:c r="I80" s="3" t="s">
        <x:v>148</x:v>
      </x:c>
      <x:c r="J80" s="1" t="s">
        <x:v>145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20</x:v>
      </x:c>
      <x:c r="G81" s="1" t="s">
        <x:v>33</x:v>
      </x:c>
      <x:c r="H81" s="1" t="s">
        <x:v>34</x:v>
      </x:c>
      <x:c r="I81" s="1" t="s">
        <x:v>20</x:v>
      </x:c>
      <x:c r="J81" s="1" t="s">
        <x:v>145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149</x:v>
      </x:c>
      <x:c r="B82" s="2" t="s">
        <x:v>150</x:v>
      </x:c>
      <x:c r="C82" s="2">
        <x:f>HYPERLINK("https://team-dj20.testit.software/projects/1/tests/20", "TC-017: Проверка подвала сайта")</x:f>
      </x:c>
      <x:c r="D82" s="1" t="s">
        <x:v>19</x:v>
      </x:c>
      <x:c r="E82" s="1" t="s">
        <x:v>20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J82" s="1" t="s">
        <x:v>20</x:v>
      </x:c>
      <x:c r="K82" s="1" t="s">
        <x:v>20</x:v>
      </x:c>
      <x:c r="L82" s="1" t="s">
        <x:v>36</x:v>
      </x:c>
      <x:c r="M82" s="1" t="s">
        <x:v>22</x:v>
      </x:c>
      <x:c r="N82" s="1" t="s">
        <x:v>23</x:v>
      </x:c>
      <x:c r="O82" s="1" t="s">
        <x:v>24</x:v>
      </x:c>
      <x:c r="P82" s="1" t="s">
        <x:v>25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37</x:v>
      </x:c>
      <x:c r="F83" s="1" t="s">
        <x:v>20</x:v>
      </x:c>
      <x:c r="G83" s="1" t="s">
        <x:v>20</x:v>
      </x:c>
      <x:c r="H83" s="1" t="s">
        <x:v>38</x:v>
      </x:c>
      <x:c r="I83" s="1" t="s">
        <x:v>20</x:v>
      </x:c>
      <x:c r="J83" s="1" t="s">
        <x:v>151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152</x:v>
      </x:c>
      <x:c r="G84" s="1" t="s">
        <x:v>20</x:v>
      </x:c>
      <x:c r="H84" s="1" t="s">
        <x:v>153</x:v>
      </x:c>
      <x:c r="I84" s="1" t="s">
        <x:v>20</x:v>
      </x:c>
      <x:c r="J84" s="1" t="s">
        <x:v>151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154</x:v>
      </x:c>
      <x:c r="G85" s="1" t="s">
        <x:v>20</x:v>
      </x:c>
      <x:c r="H85" s="1" t="s">
        <x:v>155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156</x:v>
      </x:c>
      <x:c r="G86" s="1" t="s">
        <x:v>20</x:v>
      </x:c>
      <x:c r="H86" s="1" t="s">
        <x:v>157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20</x:v>
      </x:c>
      <x:c r="G87" s="1" t="s">
        <x:v>33</x:v>
      </x:c>
      <x:c r="H87" s="1" t="s">
        <x:v>34</x:v>
      </x:c>
      <x:c r="I87" s="1" t="s">
        <x:v>20</x:v>
      </x:c>
      <x:c r="J87" s="1" t="s">
        <x:v>151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158</x:v>
      </x:c>
      <x:c r="B88" s="2" t="s">
        <x:v>159</x:v>
      </x:c>
      <x:c r="C88" s="2">
        <x:f>HYPERLINK("https://team-dj20.testit.software/projects/1/tests/21", "TC-018: Проверка HTTPS")</x:f>
      </x:c>
      <x:c r="D88" s="1" t="s">
        <x:v>19</x:v>
      </x:c>
      <x:c r="E88" s="1" t="s">
        <x:v>20</x:v>
      </x:c>
      <x:c r="F88" s="1" t="s">
        <x:v>20</x:v>
      </x:c>
      <x:c r="G88" s="1" t="s">
        <x:v>20</x:v>
      </x:c>
      <x:c r="H88" s="1" t="s">
        <x:v>20</x:v>
      </x:c>
      <x:c r="I88" s="1" t="s">
        <x:v>20</x:v>
      </x:c>
      <x:c r="J88" s="1" t="s">
        <x:v>20</x:v>
      </x:c>
      <x:c r="K88" s="1" t="s">
        <x:v>20</x:v>
      </x:c>
      <x:c r="L88" s="1" t="s">
        <x:v>21</x:v>
      </x:c>
      <x:c r="M88" s="1" t="s">
        <x:v>22</x:v>
      </x:c>
      <x:c r="N88" s="1" t="s">
        <x:v>23</x:v>
      </x:c>
      <x:c r="O88" s="1" t="s">
        <x:v>24</x:v>
      </x:c>
      <x:c r="P88" s="1" t="s">
        <x:v>85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160</x:v>
      </x:c>
      <x:c r="F89" s="1" t="s">
        <x:v>20</x:v>
      </x:c>
      <x:c r="G89" s="1" t="s">
        <x:v>20</x:v>
      </x:c>
      <x:c r="H89" s="1" t="s">
        <x:v>161</x:v>
      </x:c>
      <x:c r="I89" s="1" t="s">
        <x:v>20</x:v>
      </x:c>
      <x:c r="J89" s="1" t="s">
        <x:v>162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2" t="s">
        <x:v>163</x:v>
      </x:c>
      <x:c r="G90" s="1" t="s">
        <x:v>20</x:v>
      </x:c>
      <x:c r="H90" s="1" t="s">
        <x:v>164</x:v>
      </x:c>
      <x:c r="I90" s="1" t="s">
        <x:v>20</x:v>
      </x:c>
      <x:c r="J90" s="1" t="s">
        <x:v>162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20</x:v>
      </x:c>
      <x:c r="G91" s="1" t="s">
        <x:v>33</x:v>
      </x:c>
      <x:c r="H91" s="1" t="s">
        <x:v>34</x:v>
      </x:c>
      <x:c r="I91" s="1" t="s">
        <x:v>20</x:v>
      </x:c>
      <x:c r="J91" s="1" t="s">
        <x:v>162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165</x:v>
      </x:c>
      <x:c r="B92" s="2" t="s">
        <x:v>166</x:v>
      </x:c>
      <x:c r="C92" s="2">
        <x:f>HYPERLINK("https://team-dj20.testit.software/projects/1/tests/22", "TC-019: Кросс-браузерное тестирование в Chrome")</x:f>
      </x:c>
      <x:c r="D92" s="1" t="s">
        <x:v>19</x:v>
      </x:c>
      <x:c r="E92" s="1" t="s">
        <x:v>20</x:v>
      </x:c>
      <x:c r="F92" s="1" t="s">
        <x:v>20</x:v>
      </x:c>
      <x:c r="G92" s="1" t="s">
        <x:v>20</x:v>
      </x:c>
      <x:c r="H92" s="1" t="s">
        <x:v>20</x:v>
      </x:c>
      <x:c r="I92" s="1" t="s">
        <x:v>20</x:v>
      </x:c>
      <x:c r="J92" s="1" t="s">
        <x:v>20</x:v>
      </x:c>
      <x:c r="K92" s="1" t="s">
        <x:v>20</x:v>
      </x:c>
      <x:c r="L92" s="1" t="s">
        <x:v>21</x:v>
      </x:c>
      <x:c r="M92" s="1" t="s">
        <x:v>22</x:v>
      </x:c>
      <x:c r="N92" s="1" t="s">
        <x:v>23</x:v>
      </x:c>
      <x:c r="O92" s="1" t="s">
        <x:v>24</x:v>
      </x:c>
      <x:c r="P92" s="1" t="s">
        <x:v>85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167</x:v>
      </x:c>
      <x:c r="F93" s="1" t="s">
        <x:v>20</x:v>
      </x:c>
      <x:c r="G93" s="1" t="s">
        <x:v>20</x:v>
      </x:c>
      <x:c r="H93" s="1" t="s">
        <x:v>168</x:v>
      </x:c>
      <x:c r="I93" s="1" t="s">
        <x:v>20</x:v>
      </x:c>
      <x:c r="J93" s="1" t="s">
        <x:v>169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170</x:v>
      </x:c>
      <x:c r="G94" s="1" t="s">
        <x:v>20</x:v>
      </x:c>
      <x:c r="H94" s="1" t="s">
        <x:v>171</x:v>
      </x:c>
      <x:c r="I94" s="1" t="s">
        <x:v>20</x:v>
      </x:c>
      <x:c r="J94" s="1" t="s">
        <x:v>169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172</x:v>
      </x:c>
      <x:c r="G95" s="1" t="s">
        <x:v>20</x:v>
      </x:c>
      <x:c r="H95" s="1" t="s">
        <x:v>173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20</x:v>
      </x:c>
      <x:c r="G96" s="1" t="s">
        <x:v>33</x:v>
      </x:c>
      <x:c r="H96" s="1" t="s">
        <x:v>34</x:v>
      </x:c>
      <x:c r="I96" s="1" t="s">
        <x:v>20</x:v>
      </x:c>
      <x:c r="J96" s="1" t="s">
        <x:v>169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174</x:v>
      </x:c>
      <x:c r="B97" s="2" t="s">
        <x:v>166</x:v>
      </x:c>
      <x:c r="C97" s="2">
        <x:f>HYPERLINK("https://team-dj20.testit.software/projects/1/tests/23", "TC-020: Кросс-браузерное тестирование в Firefox")</x:f>
      </x:c>
      <x:c r="D97" s="1" t="s">
        <x:v>19</x:v>
      </x:c>
      <x:c r="E97" s="1" t="s">
        <x:v>20</x:v>
      </x:c>
      <x:c r="F97" s="1" t="s">
        <x:v>20</x:v>
      </x:c>
      <x:c r="G97" s="1" t="s">
        <x:v>20</x:v>
      </x:c>
      <x:c r="H97" s="1" t="s">
        <x:v>20</x:v>
      </x:c>
      <x:c r="I97" s="1" t="s">
        <x:v>20</x:v>
      </x:c>
      <x:c r="J97" s="1" t="s">
        <x:v>20</x:v>
      </x:c>
      <x:c r="K97" s="1" t="s">
        <x:v>20</x:v>
      </x:c>
      <x:c r="L97" s="1" t="s">
        <x:v>21</x:v>
      </x:c>
      <x:c r="M97" s="1" t="s">
        <x:v>22</x:v>
      </x:c>
      <x:c r="N97" s="1" t="s">
        <x:v>23</x:v>
      </x:c>
      <x:c r="O97" s="1" t="s">
        <x:v>24</x:v>
      </x:c>
      <x:c r="P97" s="1" t="s">
        <x:v>85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175</x:v>
      </x:c>
      <x:c r="F98" s="1" t="s">
        <x:v>20</x:v>
      </x:c>
      <x:c r="G98" s="1" t="s">
        <x:v>20</x:v>
      </x:c>
      <x:c r="H98" s="1" t="s">
        <x:v>168</x:v>
      </x:c>
      <x:c r="I98" s="1" t="s">
        <x:v>20</x:v>
      </x:c>
      <x:c r="J98" s="1" t="s">
        <x:v>176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177</x:v>
      </x:c>
      <x:c r="G99" s="1" t="s">
        <x:v>20</x:v>
      </x:c>
      <x:c r="H99" s="1" t="s">
        <x:v>171</x:v>
      </x:c>
      <x:c r="I99" s="1" t="s">
        <x:v>20</x:v>
      </x:c>
      <x:c r="J99" s="1" t="s">
        <x:v>176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172</x:v>
      </x:c>
      <x:c r="G100" s="1" t="s">
        <x:v>20</x:v>
      </x:c>
      <x:c r="H100" s="1" t="s">
        <x:v>173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20</x:v>
      </x:c>
      <x:c r="G101" s="1" t="s">
        <x:v>33</x:v>
      </x:c>
      <x:c r="H101" s="1" t="s">
        <x:v>34</x:v>
      </x:c>
      <x:c r="I101" s="1" t="s">
        <x:v>20</x:v>
      </x:c>
      <x:c r="J101" s="1" t="s">
        <x:v>176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178</x:v>
      </x:c>
      <x:c r="B102" s="2" t="s">
        <x:v>166</x:v>
      </x:c>
      <x:c r="C102" s="2">
        <x:f>HYPERLINK("https://team-dj20.testit.software/projects/1/tests/24", "TC-021: Кросс-браузерное тестирование в Яндекс.Браузере")</x:f>
      </x:c>
      <x:c r="D102" s="1" t="s">
        <x:v>19</x:v>
      </x:c>
      <x:c r="E102" s="1" t="s">
        <x:v>20</x:v>
      </x:c>
      <x:c r="F102" s="1" t="s">
        <x:v>20</x:v>
      </x:c>
      <x:c r="G102" s="1" t="s">
        <x:v>20</x:v>
      </x:c>
      <x:c r="H102" s="1" t="s">
        <x:v>20</x:v>
      </x:c>
      <x:c r="I102" s="1" t="s">
        <x:v>20</x:v>
      </x:c>
      <x:c r="J102" s="1" t="s">
        <x:v>20</x:v>
      </x:c>
      <x:c r="K102" s="1" t="s">
        <x:v>20</x:v>
      </x:c>
      <x:c r="L102" s="1" t="s">
        <x:v>21</x:v>
      </x:c>
      <x:c r="M102" s="1" t="s">
        <x:v>22</x:v>
      </x:c>
      <x:c r="N102" s="1" t="s">
        <x:v>23</x:v>
      </x:c>
      <x:c r="O102" s="1" t="s">
        <x:v>24</x:v>
      </x:c>
      <x:c r="P102" s="1" t="s">
        <x:v>85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179</x:v>
      </x:c>
      <x:c r="F103" s="1" t="s">
        <x:v>20</x:v>
      </x:c>
      <x:c r="G103" s="1" t="s">
        <x:v>20</x:v>
      </x:c>
      <x:c r="H103" s="1" t="s">
        <x:v>168</x:v>
      </x:c>
      <x:c r="I103" s="1" t="s">
        <x:v>20</x:v>
      </x:c>
      <x:c r="J103" s="1" t="s">
        <x:v>180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181</x:v>
      </x:c>
      <x:c r="G104" s="1" t="s">
        <x:v>20</x:v>
      </x:c>
      <x:c r="H104" s="1" t="s">
        <x:v>171</x:v>
      </x:c>
      <x:c r="I104" s="1" t="s">
        <x:v>20</x:v>
      </x:c>
      <x:c r="J104" s="1" t="s">
        <x:v>180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172</x:v>
      </x:c>
      <x:c r="G105" s="1" t="s">
        <x:v>20</x:v>
      </x:c>
      <x:c r="H105" s="1" t="s">
        <x:v>173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20</x:v>
      </x:c>
      <x:c r="G106" s="1" t="s">
        <x:v>33</x:v>
      </x:c>
      <x:c r="H106" s="1" t="s">
        <x:v>34</x:v>
      </x:c>
      <x:c r="I106" s="1" t="s">
        <x:v>20</x:v>
      </x:c>
      <x:c r="J106" s="1" t="s">
        <x:v>180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182</x:v>
      </x:c>
      <x:c r="B107" s="2" t="s">
        <x:v>183</x:v>
      </x:c>
      <x:c r="C107" s="2">
        <x:f>HYPERLINK("https://team-dj20.testit.software/projects/1/tests/25", "TC-022: Проверка скорости загрузки страницы")</x:f>
      </x:c>
      <x:c r="D107" s="1" t="s">
        <x:v>19</x:v>
      </x:c>
      <x:c r="E107" s="1" t="s">
        <x:v>20</x:v>
      </x:c>
      <x:c r="F107" s="1" t="s">
        <x:v>20</x:v>
      </x:c>
      <x:c r="G107" s="1" t="s">
        <x:v>20</x:v>
      </x:c>
      <x:c r="H107" s="1" t="s">
        <x:v>20</x:v>
      </x:c>
      <x:c r="I107" s="1" t="s">
        <x:v>20</x:v>
      </x:c>
      <x:c r="J107" s="1" t="s">
        <x:v>20</x:v>
      </x:c>
      <x:c r="K107" s="1" t="s">
        <x:v>20</x:v>
      </x:c>
      <x:c r="L107" s="1" t="s">
        <x:v>36</x:v>
      </x:c>
      <x:c r="M107" s="1" t="s">
        <x:v>22</x:v>
      </x:c>
      <x:c r="N107" s="1" t="s">
        <x:v>23</x:v>
      </x:c>
      <x:c r="O107" s="1" t="s">
        <x:v>24</x:v>
      </x:c>
      <x:c r="P107" s="1" t="s">
        <x:v>25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184</x:v>
      </x:c>
      <x:c r="F108" s="1" t="s">
        <x:v>20</x:v>
      </x:c>
      <x:c r="G108" s="1" t="s">
        <x:v>20</x:v>
      </x:c>
      <x:c r="H108" s="1" t="s">
        <x:v>185</x:v>
      </x:c>
      <x:c r="I108" s="1" t="s">
        <x:v>20</x:v>
      </x:c>
      <x:c r="J108" s="1" t="s">
        <x:v>186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2" t="s">
        <x:v>187</x:v>
      </x:c>
      <x:c r="G109" s="1" t="s">
        <x:v>20</x:v>
      </x:c>
      <x:c r="H109" s="1" t="s">
        <x:v>188</x:v>
      </x:c>
      <x:c r="I109" s="1" t="s">
        <x:v>20</x:v>
      </x:c>
      <x:c r="J109" s="1" t="s">
        <x:v>186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20</x:v>
      </x:c>
      <x:c r="G110" s="1" t="s">
        <x:v>33</x:v>
      </x:c>
      <x:c r="H110" s="1" t="s">
        <x:v>34</x:v>
      </x:c>
      <x:c r="I110" s="1" t="s">
        <x:v>20</x:v>
      </x:c>
      <x:c r="J110" s="1" t="s">
        <x:v>186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189</x:v>
      </x:c>
      <x:c r="B111" s="2" t="s">
        <x:v>183</x:v>
      </x:c>
      <x:c r="C111" s="2">
        <x:f>HYPERLINK("https://team-dj20.testit.software/projects/1/tests/26", "TC-023: Проверка оптимизации изображений")</x:f>
      </x:c>
      <x:c r="D111" s="1" t="s">
        <x:v>19</x:v>
      </x:c>
      <x:c r="E111" s="1" t="s">
        <x:v>20</x:v>
      </x:c>
      <x:c r="F111" s="1" t="s">
        <x:v>20</x:v>
      </x:c>
      <x:c r="G111" s="1" t="s">
        <x:v>20</x:v>
      </x:c>
      <x:c r="H111" s="1" t="s">
        <x:v>20</x:v>
      </x:c>
      <x:c r="I111" s="1" t="s">
        <x:v>20</x:v>
      </x:c>
      <x:c r="J111" s="1" t="s">
        <x:v>20</x:v>
      </x:c>
      <x:c r="K111" s="1" t="s">
        <x:v>20</x:v>
      </x:c>
      <x:c r="L111" s="1" t="s">
        <x:v>36</x:v>
      </x:c>
      <x:c r="M111" s="1" t="s">
        <x:v>22</x:v>
      </x:c>
      <x:c r="N111" s="1" t="s">
        <x:v>23</x:v>
      </x:c>
      <x:c r="O111" s="1" t="s">
        <x:v>24</x:v>
      </x:c>
      <x:c r="P111" s="1" t="s">
        <x:v>25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184</x:v>
      </x:c>
      <x:c r="F112" s="1" t="s">
        <x:v>20</x:v>
      </x:c>
      <x:c r="G112" s="1" t="s">
        <x:v>20</x:v>
      </x:c>
      <x:c r="H112" s="1" t="s">
        <x:v>185</x:v>
      </x:c>
      <x:c r="I112" s="1" t="s">
        <x:v>20</x:v>
      </x:c>
      <x:c r="J112" s="1" t="s">
        <x:v>190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2" t="s">
        <x:v>191</x:v>
      </x:c>
      <x:c r="G113" s="1" t="s">
        <x:v>20</x:v>
      </x:c>
      <x:c r="H113" s="1" t="s">
        <x:v>192</x:v>
      </x:c>
      <x:c r="I113" s="1" t="s">
        <x:v>20</x:v>
      </x:c>
      <x:c r="J113" s="1" t="s">
        <x:v>190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20</x:v>
      </x:c>
      <x:c r="F114" s="1" t="s">
        <x:v>20</x:v>
      </x:c>
      <x:c r="G114" s="1" t="s">
        <x:v>33</x:v>
      </x:c>
      <x:c r="H114" s="1" t="s">
        <x:v>34</x:v>
      </x:c>
      <x:c r="I114" s="1" t="s">
        <x:v>20</x:v>
      </x:c>
      <x:c r="J114" s="1" t="s">
        <x:v>190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193</x:v>
      </x:c>
      <x:c r="B115" s="2" t="s">
        <x:v>194</x:v>
      </x:c>
      <x:c r="C115" s="2">
        <x:f>HYPERLINK("https://team-dj20.testit.software/projects/1/tests/27", "TC-024: Проверка title")</x:f>
      </x:c>
      <x:c r="D115" s="1" t="s">
        <x:v>19</x:v>
      </x:c>
      <x:c r="E115" s="1" t="s">
        <x:v>20</x:v>
      </x:c>
      <x:c r="F115" s="1" t="s">
        <x:v>20</x:v>
      </x:c>
      <x:c r="G115" s="1" t="s">
        <x:v>20</x:v>
      </x:c>
      <x:c r="H115" s="1" t="s">
        <x:v>20</x:v>
      </x:c>
      <x:c r="I115" s="1" t="s">
        <x:v>20</x:v>
      </x:c>
      <x:c r="J115" s="1" t="s">
        <x:v>20</x:v>
      </x:c>
      <x:c r="K115" s="1" t="s">
        <x:v>20</x:v>
      </x:c>
      <x:c r="L115" s="1" t="s">
        <x:v>36</x:v>
      </x:c>
      <x:c r="M115" s="1" t="s">
        <x:v>22</x:v>
      </x:c>
      <x:c r="N115" s="1" t="s">
        <x:v>23</x:v>
      </x:c>
      <x:c r="O115" s="1" t="s">
        <x:v>24</x:v>
      </x:c>
      <x:c r="P115" s="1" t="s">
        <x:v>25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195</x:v>
      </x:c>
      <x:c r="F116" s="1" t="s">
        <x:v>20</x:v>
      </x:c>
      <x:c r="G116" s="1" t="s">
        <x:v>20</x:v>
      </x:c>
      <x:c r="H116" s="1" t="s">
        <x:v>196</x:v>
      </x:c>
      <x:c r="I116" s="1" t="s">
        <x:v>20</x:v>
      </x:c>
      <x:c r="J116" s="1" t="s">
        <x:v>197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2" t="s">
        <x:v>198</x:v>
      </x:c>
      <x:c r="G117" s="1" t="s">
        <x:v>20</x:v>
      </x:c>
      <x:c r="H117" s="1" t="s">
        <x:v>199</x:v>
      </x:c>
      <x:c r="I117" s="1" t="s">
        <x:v>20</x:v>
      </x:c>
      <x:c r="J117" s="1" t="s">
        <x:v>197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20</x:v>
      </x:c>
      <x:c r="G118" s="1" t="s">
        <x:v>33</x:v>
      </x:c>
      <x:c r="H118" s="1" t="s">
        <x:v>34</x:v>
      </x:c>
      <x:c r="I118" s="1" t="s">
        <x:v>20</x:v>
      </x:c>
      <x:c r="J118" s="1" t="s">
        <x:v>197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200</x:v>
      </x:c>
      <x:c r="B119" s="2" t="s">
        <x:v>194</x:v>
      </x:c>
      <x:c r="C119" s="2">
        <x:f>HYPERLINK("https://team-dj20.testit.software/projects/1/tests/28", "TC-025: Проверка meta description")</x:f>
      </x:c>
      <x:c r="D119" s="1" t="s">
        <x:v>19</x:v>
      </x:c>
      <x:c r="E119" s="1" t="s">
        <x:v>20</x:v>
      </x:c>
      <x:c r="F119" s="1" t="s">
        <x:v>20</x:v>
      </x:c>
      <x:c r="G119" s="1" t="s">
        <x:v>20</x:v>
      </x:c>
      <x:c r="H119" s="1" t="s">
        <x:v>20</x:v>
      </x:c>
      <x:c r="I119" s="1" t="s">
        <x:v>20</x:v>
      </x:c>
      <x:c r="J119" s="1" t="s">
        <x:v>20</x:v>
      </x:c>
      <x:c r="K119" s="1" t="s">
        <x:v>20</x:v>
      </x:c>
      <x:c r="L119" s="1" t="s">
        <x:v>36</x:v>
      </x:c>
      <x:c r="M119" s="1" t="s">
        <x:v>22</x:v>
      </x:c>
      <x:c r="N119" s="1" t="s">
        <x:v>23</x:v>
      </x:c>
      <x:c r="O119" s="1" t="s">
        <x:v>24</x:v>
      </x:c>
      <x:c r="P119" s="1" t="s">
        <x:v>85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195</x:v>
      </x:c>
      <x:c r="F120" s="1" t="s">
        <x:v>20</x:v>
      </x:c>
      <x:c r="G120" s="1" t="s">
        <x:v>20</x:v>
      </x:c>
      <x:c r="H120" s="1" t="s">
        <x:v>196</x:v>
      </x:c>
      <x:c r="I120" s="1" t="s">
        <x:v>20</x:v>
      </x:c>
      <x:c r="J120" s="1" t="s">
        <x:v>197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2" t="s">
        <x:v>201</x:v>
      </x:c>
      <x:c r="G121" s="1" t="s">
        <x:v>20</x:v>
      </x:c>
      <x:c r="H121" s="1" t="s">
        <x:v>202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20</x:v>
      </x:c>
      <x:c r="G122" s="1" t="s">
        <x:v>33</x:v>
      </x:c>
      <x:c r="H122" s="1" t="s">
        <x:v>34</x:v>
      </x:c>
      <x:c r="I122" s="1" t="s">
        <x:v>20</x:v>
      </x:c>
      <x:c r="J122" s="1" t="s">
        <x:v>197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203</x:v>
      </x:c>
      <x:c r="B123" s="2" t="s">
        <x:v>194</x:v>
      </x:c>
      <x:c r="C123" s="2">
        <x:f>HYPERLINK("https://team-dj20.testit.software/projects/1/tests/29", "TC-026: Проверка viewport")</x:f>
      </x:c>
      <x:c r="D123" s="1" t="s">
        <x:v>19</x:v>
      </x:c>
      <x:c r="E123" s="1" t="s">
        <x:v>20</x:v>
      </x:c>
      <x:c r="F123" s="1" t="s">
        <x:v>20</x:v>
      </x:c>
      <x:c r="G123" s="1" t="s">
        <x:v>20</x:v>
      </x:c>
      <x:c r="H123" s="1" t="s">
        <x:v>20</x:v>
      </x:c>
      <x:c r="I123" s="1" t="s">
        <x:v>20</x:v>
      </x:c>
      <x:c r="J123" s="1" t="s">
        <x:v>20</x:v>
      </x:c>
      <x:c r="K123" s="1" t="s">
        <x:v>20</x:v>
      </x:c>
      <x:c r="L123" s="1" t="s">
        <x:v>36</x:v>
      </x:c>
      <x:c r="M123" s="1" t="s">
        <x:v>22</x:v>
      </x:c>
      <x:c r="N123" s="1" t="s">
        <x:v>23</x:v>
      </x:c>
      <x:c r="O123" s="1" t="s">
        <x:v>24</x:v>
      </x:c>
      <x:c r="P123" s="1" t="s">
        <x:v>85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195</x:v>
      </x:c>
      <x:c r="F124" s="1" t="s">
        <x:v>20</x:v>
      </x:c>
      <x:c r="G124" s="1" t="s">
        <x:v>20</x:v>
      </x:c>
      <x:c r="H124" s="1" t="s">
        <x:v>196</x:v>
      </x:c>
      <x:c r="I124" s="1" t="s">
        <x:v>20</x:v>
      </x:c>
      <x:c r="J124" s="1" t="s">
        <x:v>204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205</x:v>
      </x:c>
      <x:c r="G125" s="1" t="s">
        <x:v>20</x:v>
      </x:c>
      <x:c r="H125" s="1" t="s">
        <x:v>206</x:v>
      </x:c>
      <x:c r="I125" s="1" t="s">
        <x:v>20</x:v>
      </x:c>
      <x:c r="J125" s="1" t="s">
        <x:v>204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20</x:v>
      </x:c>
      <x:c r="G126" s="1" t="s">
        <x:v>33</x:v>
      </x:c>
      <x:c r="H126" s="1" t="s">
        <x:v>34</x:v>
      </x:c>
      <x:c r="I126" s="1" t="s">
        <x:v>20</x:v>
      </x:c>
      <x:c r="J126" s="1" t="s">
        <x:v>204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207</x:v>
      </x:c>
      <x:c r="B127" s="2" t="s">
        <x:v>194</x:v>
      </x:c>
      <x:c r="C127" s="2">
        <x:f>HYPERLINK("https://team-dj20.testit.software/projects/1/tests/30", "TC-027: Проверка микроразметки")</x:f>
      </x:c>
      <x:c r="D127" s="1" t="s">
        <x:v>19</x:v>
      </x:c>
      <x:c r="E127" s="1" t="s">
        <x:v>20</x:v>
      </x:c>
      <x:c r="F127" s="1" t="s">
        <x:v>20</x:v>
      </x:c>
      <x:c r="G127" s="1" t="s">
        <x:v>20</x:v>
      </x:c>
      <x:c r="H127" s="1" t="s">
        <x:v>20</x:v>
      </x:c>
      <x:c r="I127" s="1" t="s">
        <x:v>20</x:v>
      </x:c>
      <x:c r="J127" s="1" t="s">
        <x:v>20</x:v>
      </x:c>
      <x:c r="K127" s="1" t="s">
        <x:v>20</x:v>
      </x:c>
      <x:c r="L127" s="1" t="s">
        <x:v>36</x:v>
      </x:c>
      <x:c r="M127" s="1" t="s">
        <x:v>22</x:v>
      </x:c>
      <x:c r="N127" s="1" t="s">
        <x:v>23</x:v>
      </x:c>
      <x:c r="O127" s="1" t="s">
        <x:v>24</x:v>
      </x:c>
      <x:c r="P127" s="1" t="s">
        <x:v>25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208</x:v>
      </x:c>
      <x:c r="F128" s="1" t="s">
        <x:v>20</x:v>
      </x:c>
      <x:c r="G128" s="1" t="s">
        <x:v>20</x:v>
      </x:c>
      <x:c r="H128" s="1" t="s">
        <x:v>209</x:v>
      </x:c>
      <x:c r="I128" s="1" t="s">
        <x:v>20</x:v>
      </x:c>
      <x:c r="J128" s="1" t="s">
        <x:v>210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2" t="s">
        <x:v>211</x:v>
      </x:c>
      <x:c r="G129" s="1" t="s">
        <x:v>20</x:v>
      </x:c>
      <x:c r="H129" s="1" t="s">
        <x:v>212</x:v>
      </x:c>
      <x:c r="I129" s="1" t="s">
        <x:v>20</x:v>
      </x:c>
      <x:c r="J129" s="1" t="s">
        <x:v>210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20</x:v>
      </x:c>
      <x:c r="G130" s="1" t="s">
        <x:v>33</x:v>
      </x:c>
      <x:c r="H130" s="1" t="s">
        <x:v>34</x:v>
      </x:c>
      <x:c r="I130" s="1" t="s">
        <x:v>20</x:v>
      </x:c>
      <x:c r="J130" s="1" t="s">
        <x:v>210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213</x:v>
      </x:c>
      <x:c r="B131" s="2" t="s">
        <x:v>214</x:v>
      </x:c>
      <x:c r="C131" s="2">
        <x:f>HYPERLINK("https://team-dj20.testit.software/projects/1/tests/31", "TC-028: Адаптивность на разрешении 320px")</x:f>
      </x:c>
      <x:c r="D131" s="1" t="s">
        <x:v>19</x:v>
      </x:c>
      <x:c r="E131" s="1" t="s">
        <x:v>20</x:v>
      </x:c>
      <x:c r="F131" s="1" t="s">
        <x:v>20</x:v>
      </x:c>
      <x:c r="G131" s="1" t="s">
        <x:v>20</x:v>
      </x:c>
      <x:c r="H131" s="1" t="s">
        <x:v>20</x:v>
      </x:c>
      <x:c r="I131" s="1" t="s">
        <x:v>20</x:v>
      </x:c>
      <x:c r="J131" s="1" t="s">
        <x:v>20</x:v>
      </x:c>
      <x:c r="K131" s="1" t="s">
        <x:v>20</x:v>
      </x:c>
      <x:c r="L131" s="1" t="s">
        <x:v>21</x:v>
      </x:c>
      <x:c r="M131" s="1" t="s">
        <x:v>22</x:v>
      </x:c>
      <x:c r="N131" s="1" t="s">
        <x:v>23</x:v>
      </x:c>
      <x:c r="O131" s="1" t="s">
        <x:v>24</x:v>
      </x:c>
      <x:c r="P131" s="1" t="s">
        <x:v>25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215</x:v>
      </x:c>
      <x:c r="F132" s="1" t="s">
        <x:v>20</x:v>
      </x:c>
      <x:c r="G132" s="1" t="s">
        <x:v>20</x:v>
      </x:c>
      <x:c r="H132" s="1" t="s">
        <x:v>185</x:v>
      </x:c>
      <x:c r="I132" s="1" t="s">
        <x:v>20</x:v>
      </x:c>
      <x:c r="J132" s="1" t="s">
        <x:v>216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2" t="s">
        <x:v>217</x:v>
      </x:c>
      <x:c r="G133" s="1" t="s">
        <x:v>20</x:v>
      </x:c>
      <x:c r="H133" s="1" t="s">
        <x:v>218</x:v>
      </x:c>
      <x:c r="I133" s="1" t="s">
        <x:v>20</x:v>
      </x:c>
      <x:c r="J133" s="1" t="s">
        <x:v>216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20</x:v>
      </x:c>
      <x:c r="G134" s="1" t="s">
        <x:v>33</x:v>
      </x:c>
      <x:c r="H134" s="1" t="s">
        <x:v>34</x:v>
      </x:c>
      <x:c r="I134" s="1" t="s">
        <x:v>20</x:v>
      </x:c>
      <x:c r="J134" s="1" t="s">
        <x:v>216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219</x:v>
      </x:c>
      <x:c r="B135" s="2" t="s">
        <x:v>214</x:v>
      </x:c>
      <x:c r="C135" s="2">
        <x:f>HYPERLINK("https://team-dj20.testit.software/projects/1/tests/32", "TC-029: Адаптивность на разрешении 768px")</x:f>
      </x:c>
      <x:c r="D135" s="1" t="s">
        <x:v>19</x:v>
      </x:c>
      <x:c r="E135" s="1" t="s">
        <x:v>20</x:v>
      </x:c>
      <x:c r="F135" s="1" t="s">
        <x:v>20</x:v>
      </x:c>
      <x:c r="G135" s="1" t="s">
        <x:v>20</x:v>
      </x:c>
      <x:c r="H135" s="1" t="s">
        <x:v>20</x:v>
      </x:c>
      <x:c r="I135" s="1" t="s">
        <x:v>20</x:v>
      </x:c>
      <x:c r="J135" s="1" t="s">
        <x:v>20</x:v>
      </x:c>
      <x:c r="K135" s="1" t="s">
        <x:v>20</x:v>
      </x:c>
      <x:c r="L135" s="1" t="s">
        <x:v>21</x:v>
      </x:c>
      <x:c r="M135" s="1" t="s">
        <x:v>22</x:v>
      </x:c>
      <x:c r="N135" s="1" t="s">
        <x:v>23</x:v>
      </x:c>
      <x:c r="O135" s="1" t="s">
        <x:v>24</x:v>
      </x:c>
      <x:c r="P135" s="1" t="s">
        <x:v>25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215</x:v>
      </x:c>
      <x:c r="F136" s="1" t="s">
        <x:v>20</x:v>
      </x:c>
      <x:c r="G136" s="1" t="s">
        <x:v>20</x:v>
      </x:c>
      <x:c r="H136" s="1" t="s">
        <x:v>185</x:v>
      </x:c>
      <x:c r="I136" s="1" t="s">
        <x:v>20</x:v>
      </x:c>
      <x:c r="J136" s="1" t="s">
        <x:v>220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2" t="s">
        <x:v>221</x:v>
      </x:c>
      <x:c r="G137" s="1" t="s">
        <x:v>20</x:v>
      </x:c>
      <x:c r="H137" s="1" t="s">
        <x:v>218</x:v>
      </x:c>
      <x:c r="I137" s="1" t="s">
        <x:v>20</x:v>
      </x:c>
      <x:c r="J137" s="1" t="s">
        <x:v>220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20</x:v>
      </x:c>
      <x:c r="B138" s="2" t="s">
        <x:v>20</x:v>
      </x:c>
      <x:c r="C138" s="2" t="s">
        <x:v>20</x:v>
      </x:c>
      <x:c r="D138" s="1" t="s">
        <x:v>20</x:v>
      </x:c>
      <x:c r="E138" s="1" t="s">
        <x:v>20</x:v>
      </x:c>
      <x:c r="F138" s="1" t="s">
        <x:v>20</x:v>
      </x:c>
      <x:c r="G138" s="1" t="s">
        <x:v>33</x:v>
      </x:c>
      <x:c r="H138" s="1" t="s">
        <x:v>34</x:v>
      </x:c>
      <x:c r="I138" s="1" t="s">
        <x:v>20</x:v>
      </x:c>
      <x:c r="J138" s="1" t="s">
        <x:v>220</x:v>
      </x:c>
      <x:c r="K138" s="1" t="s">
        <x:v>20</x:v>
      </x:c>
      <x:c r="L138" s="1" t="s">
        <x:v>20</x:v>
      </x:c>
      <x:c r="M138" s="1" t="s">
        <x:v>20</x:v>
      </x:c>
      <x:c r="N138" s="1" t="s">
        <x:v>20</x:v>
      </x:c>
      <x:c r="O138" s="1" t="s">
        <x:v>20</x:v>
      </x:c>
      <x:c r="P138" s="1" t="s">
        <x:v>20</x:v>
      </x:c>
      <x:c r="Q138" s="1" t="s">
        <x:v>20</x:v>
      </x:c>
    </x:row>
    <x:row r="139" spans="1:17">
      <x:c r="A139" s="1" t="s">
        <x:v>222</x:v>
      </x:c>
      <x:c r="B139" s="2" t="s">
        <x:v>214</x:v>
      </x:c>
      <x:c r="C139" s="2">
        <x:f>HYPERLINK("https://team-dj20.testit.software/projects/1/tests/33", "TC-030: Проверка формы на мобильных устройствах")</x:f>
      </x:c>
      <x:c r="D139" s="1" t="s">
        <x:v>19</x:v>
      </x:c>
      <x:c r="E139" s="1" t="s">
        <x:v>20</x:v>
      </x:c>
      <x:c r="F139" s="1" t="s">
        <x:v>20</x:v>
      </x:c>
      <x:c r="G139" s="1" t="s">
        <x:v>20</x:v>
      </x:c>
      <x:c r="H139" s="1" t="s">
        <x:v>20</x:v>
      </x:c>
      <x:c r="I139" s="1" t="s">
        <x:v>20</x:v>
      </x:c>
      <x:c r="J139" s="1" t="s">
        <x:v>20</x:v>
      </x:c>
      <x:c r="K139" s="1" t="s">
        <x:v>20</x:v>
      </x:c>
      <x:c r="L139" s="1" t="s">
        <x:v>36</x:v>
      </x:c>
      <x:c r="M139" s="1" t="s">
        <x:v>22</x:v>
      </x:c>
      <x:c r="N139" s="1" t="s">
        <x:v>23</x:v>
      </x:c>
      <x:c r="O139" s="1" t="s">
        <x:v>24</x:v>
      </x:c>
      <x:c r="P139" s="1" t="s">
        <x:v>25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223</x:v>
      </x:c>
      <x:c r="F140" s="1" t="s">
        <x:v>20</x:v>
      </x:c>
      <x:c r="G140" s="1" t="s">
        <x:v>20</x:v>
      </x:c>
      <x:c r="H140" s="1" t="s">
        <x:v>224</x:v>
      </x:c>
      <x:c r="I140" s="1" t="s">
        <x:v>20</x:v>
      </x:c>
      <x:c r="J140" s="1" t="s">
        <x:v>225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20</x:v>
      </x:c>
      <x:c r="F141" s="2" t="s">
        <x:v>226</x:v>
      </x:c>
      <x:c r="G141" s="1" t="s">
        <x:v>20</x:v>
      </x:c>
      <x:c r="H141" s="1" t="s">
        <x:v>227</x:v>
      </x:c>
      <x:c r="I141" s="1" t="s">
        <x:v>20</x:v>
      </x:c>
      <x:c r="J141" s="1" t="s">
        <x:v>225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20</x:v>
      </x:c>
      <x:c r="G142" s="1" t="s">
        <x:v>33</x:v>
      </x:c>
      <x:c r="H142" s="1" t="s">
        <x:v>34</x:v>
      </x:c>
      <x:c r="I142" s="1" t="s">
        <x:v>20</x:v>
      </x:c>
      <x:c r="J142" s="1" t="s">
        <x:v>225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228</x:v>
      </x:c>
      <x:c r="B143" s="2" t="s">
        <x:v>229</x:v>
      </x:c>
      <x:c r="C143" s="2">
        <x:f>HYPERLINK("https://team-dj20.testit.software/projects/1/tests/34", "TC-031: Проверка размера интерактивных элементов")</x:f>
      </x:c>
      <x:c r="D143" s="1" t="s">
        <x:v>19</x:v>
      </x:c>
      <x:c r="E143" s="1" t="s">
        <x:v>20</x:v>
      </x:c>
      <x:c r="F143" s="1" t="s">
        <x:v>20</x:v>
      </x:c>
      <x:c r="G143" s="1" t="s">
        <x:v>20</x:v>
      </x:c>
      <x:c r="H143" s="1" t="s">
        <x:v>20</x:v>
      </x:c>
      <x:c r="I143" s="1" t="s">
        <x:v>20</x:v>
      </x:c>
      <x:c r="J143" s="1" t="s">
        <x:v>20</x:v>
      </x:c>
      <x:c r="K143" s="1" t="s">
        <x:v>20</x:v>
      </x:c>
      <x:c r="L143" s="1" t="s">
        <x:v>36</x:v>
      </x:c>
      <x:c r="M143" s="1" t="s">
        <x:v>22</x:v>
      </x:c>
      <x:c r="N143" s="1" t="s">
        <x:v>23</x:v>
      </x:c>
      <x:c r="O143" s="1" t="s">
        <x:v>24</x:v>
      </x:c>
      <x:c r="P143" s="1" t="s">
        <x:v>25</x:v>
      </x:c>
      <x:c r="Q143" s="1" t="s">
        <x:v>20</x:v>
      </x:c>
    </x:row>
    <x:row r="144" spans="1:17">
      <x:c r="A144" s="1" t="s">
        <x:v>20</x:v>
      </x:c>
      <x:c r="B144" s="2" t="s">
        <x:v>20</x:v>
      </x:c>
      <x:c r="C144" s="2" t="s">
        <x:v>20</x:v>
      </x:c>
      <x:c r="D144" s="1" t="s">
        <x:v>20</x:v>
      </x:c>
      <x:c r="E144" s="1" t="s">
        <x:v>215</x:v>
      </x:c>
      <x:c r="F144" s="1" t="s">
        <x:v>20</x:v>
      </x:c>
      <x:c r="G144" s="1" t="s">
        <x:v>20</x:v>
      </x:c>
      <x:c r="H144" s="1" t="s">
        <x:v>185</x:v>
      </x:c>
      <x:c r="I144" s="1" t="s">
        <x:v>20</x:v>
      </x:c>
      <x:c r="J144" s="1" t="s">
        <x:v>230</x:v>
      </x:c>
      <x:c r="K144" s="1" t="s">
        <x:v>20</x:v>
      </x:c>
      <x:c r="L144" s="1" t="s">
        <x:v>20</x:v>
      </x:c>
      <x:c r="M144" s="1" t="s">
        <x:v>20</x:v>
      </x:c>
      <x:c r="N144" s="1" t="s">
        <x:v>20</x:v>
      </x:c>
      <x:c r="O144" s="1" t="s">
        <x:v>20</x:v>
      </x:c>
      <x:c r="P144" s="1" t="s">
        <x:v>20</x:v>
      </x:c>
      <x:c r="Q144" s="1" t="s">
        <x:v>20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20</x:v>
      </x:c>
      <x:c r="F145" s="1" t="s">
        <x:v>231</x:v>
      </x:c>
      <x:c r="G145" s="1" t="s">
        <x:v>20</x:v>
      </x:c>
      <x:c r="H145" s="1" t="s">
        <x:v>232</x:v>
      </x:c>
      <x:c r="I145" s="1" t="s">
        <x:v>20</x:v>
      </x:c>
      <x:c r="J145" s="1" t="s">
        <x:v>230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1" t="s">
        <x:v>20</x:v>
      </x:c>
      <x:c r="G146" s="1" t="s">
        <x:v>33</x:v>
      </x:c>
      <x:c r="H146" s="1" t="s">
        <x:v>34</x:v>
      </x:c>
      <x:c r="I146" s="1" t="s">
        <x:v>20</x:v>
      </x:c>
      <x:c r="J146" s="1" t="s">
        <x:v>230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233</x:v>
      </x:c>
      <x:c r="B147" s="2" t="s">
        <x:v>229</x:v>
      </x:c>
      <x:c r="C147" s="2">
        <x:f>HYPERLINK("https://team-dj20.testit.software/projects/1/tests/35", "TC-032: Проверка alt-текста у изображений")</x:f>
      </x:c>
      <x:c r="D147" s="1" t="s">
        <x:v>19</x:v>
      </x:c>
      <x:c r="E147" s="1" t="s">
        <x:v>20</x:v>
      </x:c>
      <x:c r="F147" s="1" t="s">
        <x:v>20</x:v>
      </x:c>
      <x:c r="G147" s="1" t="s">
        <x:v>20</x:v>
      </x:c>
      <x:c r="H147" s="1" t="s">
        <x:v>20</x:v>
      </x:c>
      <x:c r="I147" s="1" t="s">
        <x:v>20</x:v>
      </x:c>
      <x:c r="J147" s="1" t="s">
        <x:v>20</x:v>
      </x:c>
      <x:c r="K147" s="1" t="s">
        <x:v>20</x:v>
      </x:c>
      <x:c r="L147" s="1" t="s">
        <x:v>84</x:v>
      </x:c>
      <x:c r="M147" s="1" t="s">
        <x:v>22</x:v>
      </x:c>
      <x:c r="N147" s="1" t="s">
        <x:v>23</x:v>
      </x:c>
      <x:c r="O147" s="1" t="s">
        <x:v>24</x:v>
      </x:c>
      <x:c r="P147" s="1" t="s">
        <x:v>234</x:v>
      </x:c>
      <x:c r="Q147" s="1" t="s">
        <x:v>20</x:v>
      </x:c>
    </x:row>
    <x:row r="148" spans="1:17">
      <x:c r="A148" s="1" t="s">
        <x:v>20</x:v>
      </x:c>
      <x:c r="B148" s="2" t="s">
        <x:v>20</x:v>
      </x:c>
      <x:c r="C148" s="2" t="s">
        <x:v>20</x:v>
      </x:c>
      <x:c r="D148" s="1" t="s">
        <x:v>20</x:v>
      </x:c>
      <x:c r="E148" s="1" t="s">
        <x:v>195</x:v>
      </x:c>
      <x:c r="F148" s="1" t="s">
        <x:v>20</x:v>
      </x:c>
      <x:c r="G148" s="1" t="s">
        <x:v>20</x:v>
      </x:c>
      <x:c r="H148" s="1" t="s">
        <x:v>196</x:v>
      </x:c>
      <x:c r="I148" s="1" t="s">
        <x:v>20</x:v>
      </x:c>
      <x:c r="J148" s="1" t="s">
        <x:v>235</x:v>
      </x:c>
      <x:c r="K148" s="1" t="s">
        <x:v>20</x:v>
      </x:c>
      <x:c r="L148" s="1" t="s">
        <x:v>20</x:v>
      </x:c>
      <x:c r="M148" s="1" t="s">
        <x:v>20</x:v>
      </x:c>
      <x:c r="N148" s="1" t="s">
        <x:v>20</x:v>
      </x:c>
      <x:c r="O148" s="1" t="s">
        <x:v>20</x:v>
      </x:c>
      <x:c r="P148" s="1" t="s">
        <x:v>20</x:v>
      </x:c>
      <x:c r="Q148" s="1" t="s">
        <x:v>20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20</x:v>
      </x:c>
      <x:c r="F149" s="2" t="s">
        <x:v>236</x:v>
      </x:c>
      <x:c r="G149" s="1" t="s">
        <x:v>20</x:v>
      </x:c>
      <x:c r="H149" s="1" t="s">
        <x:v>237</x:v>
      </x:c>
      <x:c r="I149" s="1" t="s">
        <x:v>20</x:v>
      </x:c>
      <x:c r="J149" s="1" t="s">
        <x:v>235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1" t="s">
        <x:v>20</x:v>
      </x:c>
      <x:c r="G150" s="1" t="s">
        <x:v>33</x:v>
      </x:c>
      <x:c r="H150" s="1" t="s">
        <x:v>34</x:v>
      </x:c>
      <x:c r="I150" s="1" t="s">
        <x:v>20</x:v>
      </x:c>
      <x:c r="J150" s="1" t="s">
        <x:v>235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238</x:v>
      </x:c>
      <x:c r="B151" s="2" t="s">
        <x:v>229</x:v>
      </x:c>
      <x:c r="C151" s="2">
        <x:f>HYPERLINK("https://team-dj20.testit.software/projects/1/tests/36", "TC-033: Проверка навигации с клавиатуры")</x:f>
      </x:c>
      <x:c r="D151" s="1" t="s">
        <x:v>19</x:v>
      </x:c>
      <x:c r="E151" s="1" t="s">
        <x:v>20</x:v>
      </x:c>
      <x:c r="F151" s="1" t="s">
        <x:v>20</x:v>
      </x:c>
      <x:c r="G151" s="1" t="s">
        <x:v>20</x:v>
      </x:c>
      <x:c r="H151" s="1" t="s">
        <x:v>20</x:v>
      </x:c>
      <x:c r="I151" s="1" t="s">
        <x:v>20</x:v>
      </x:c>
      <x:c r="J151" s="1" t="s">
        <x:v>20</x:v>
      </x:c>
      <x:c r="K151" s="1" t="s">
        <x:v>20</x:v>
      </x:c>
      <x:c r="L151" s="1" t="s">
        <x:v>36</x:v>
      </x:c>
      <x:c r="M151" s="1" t="s">
        <x:v>22</x:v>
      </x:c>
      <x:c r="N151" s="1" t="s">
        <x:v>23</x:v>
      </x:c>
      <x:c r="O151" s="1" t="s">
        <x:v>24</x:v>
      </x:c>
      <x:c r="P151" s="1" t="s">
        <x:v>25</x:v>
      </x:c>
      <x:c r="Q151" s="1" t="s">
        <x:v>20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208</x:v>
      </x:c>
      <x:c r="F152" s="1" t="s">
        <x:v>20</x:v>
      </x:c>
      <x:c r="G152" s="1" t="s">
        <x:v>20</x:v>
      </x:c>
      <x:c r="H152" s="1" t="s">
        <x:v>209</x:v>
      </x:c>
      <x:c r="I152" s="1" t="s">
        <x:v>20</x:v>
      </x:c>
      <x:c r="J152" s="1" t="s">
        <x:v>239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20</x:v>
      </x:c>
      <x:c r="B153" s="2" t="s">
        <x:v>20</x:v>
      </x:c>
      <x:c r="C153" s="2" t="s">
        <x:v>20</x:v>
      </x:c>
      <x:c r="D153" s="1" t="s">
        <x:v>20</x:v>
      </x:c>
      <x:c r="E153" s="1" t="s">
        <x:v>20</x:v>
      </x:c>
      <x:c r="F153" s="2" t="s">
        <x:v>240</x:v>
      </x:c>
      <x:c r="G153" s="1" t="s">
        <x:v>20</x:v>
      </x:c>
      <x:c r="H153" s="1" t="s">
        <x:v>241</x:v>
      </x:c>
      <x:c r="I153" s="1" t="s">
        <x:v>20</x:v>
      </x:c>
      <x:c r="J153" s="1" t="s">
        <x:v>239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1" t="s">
        <x:v>20</x:v>
      </x:c>
      <x:c r="G154" s="1" t="s">
        <x:v>33</x:v>
      </x:c>
      <x:c r="H154" s="1" t="s">
        <x:v>34</x:v>
      </x:c>
      <x:c r="I154" s="1" t="s">
        <x:v>20</x:v>
      </x:c>
      <x:c r="J154" s="1" t="s">
        <x:v>239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242</x:v>
      </x:c>
      <x:c r="B155" s="2" t="s">
        <x:v>229</x:v>
      </x:c>
      <x:c r="C155" s="2">
        <x:f>HYPERLINK("https://team-dj20.testit.software/projects/1/tests/37", "TC-034: Проверка семантической верстки")</x:f>
      </x:c>
      <x:c r="D155" s="1" t="s">
        <x:v>19</x:v>
      </x:c>
      <x:c r="E155" s="1" t="s">
        <x:v>20</x:v>
      </x:c>
      <x:c r="F155" s="1" t="s">
        <x:v>20</x:v>
      </x:c>
      <x:c r="G155" s="1" t="s">
        <x:v>20</x:v>
      </x:c>
      <x:c r="H155" s="1" t="s">
        <x:v>20</x:v>
      </x:c>
      <x:c r="I155" s="1" t="s">
        <x:v>20</x:v>
      </x:c>
      <x:c r="J155" s="1" t="s">
        <x:v>20</x:v>
      </x:c>
      <x:c r="K155" s="1" t="s">
        <x:v>20</x:v>
      </x:c>
      <x:c r="L155" s="1" t="s">
        <x:v>36</x:v>
      </x:c>
      <x:c r="M155" s="1" t="s">
        <x:v>22</x:v>
      </x:c>
      <x:c r="N155" s="1" t="s">
        <x:v>23</x:v>
      </x:c>
      <x:c r="O155" s="1" t="s">
        <x:v>24</x:v>
      </x:c>
      <x:c r="P155" s="1" t="s">
        <x:v>25</x:v>
      </x:c>
      <x:c r="Q155" s="1" t="s">
        <x:v>20</x:v>
      </x:c>
    </x:row>
    <x:row r="156" spans="1:17">
      <x:c r="A156" s="1" t="s">
        <x:v>20</x:v>
      </x:c>
      <x:c r="B156" s="2" t="s">
        <x:v>20</x:v>
      </x:c>
      <x:c r="C156" s="2" t="s">
        <x:v>20</x:v>
      </x:c>
      <x:c r="D156" s="1" t="s">
        <x:v>20</x:v>
      </x:c>
      <x:c r="E156" s="1" t="s">
        <x:v>195</x:v>
      </x:c>
      <x:c r="F156" s="1" t="s">
        <x:v>20</x:v>
      </x:c>
      <x:c r="G156" s="1" t="s">
        <x:v>20</x:v>
      </x:c>
      <x:c r="H156" s="1" t="s">
        <x:v>196</x:v>
      </x:c>
      <x:c r="I156" s="1" t="s">
        <x:v>20</x:v>
      </x:c>
      <x:c r="J156" s="1" t="s">
        <x:v>243</x:v>
      </x:c>
      <x:c r="K156" s="1" t="s">
        <x:v>20</x:v>
      </x:c>
      <x:c r="L156" s="1" t="s">
        <x:v>20</x:v>
      </x:c>
      <x:c r="M156" s="1" t="s">
        <x:v>20</x:v>
      </x:c>
      <x:c r="N156" s="1" t="s">
        <x:v>20</x:v>
      </x:c>
      <x:c r="O156" s="1" t="s">
        <x:v>20</x:v>
      </x:c>
      <x:c r="P156" s="1" t="s">
        <x:v>20</x:v>
      </x:c>
      <x:c r="Q156" s="1" t="s">
        <x:v>20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20</x:v>
      </x:c>
      <x:c r="F157" s="1" t="s">
        <x:v>244</x:v>
      </x:c>
      <x:c r="G157" s="1" t="s">
        <x:v>20</x:v>
      </x:c>
      <x:c r="H157" s="1" t="s">
        <x:v>245</x:v>
      </x:c>
      <x:c r="I157" s="1" t="s">
        <x:v>20</x:v>
      </x:c>
      <x:c r="J157" s="1" t="s">
        <x:v>243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20</x:v>
      </x:c>
      <x:c r="B158" s="2" t="s">
        <x:v>20</x:v>
      </x:c>
      <x:c r="C158" s="2" t="s">
        <x:v>20</x:v>
      </x:c>
      <x:c r="D158" s="1" t="s">
        <x:v>20</x:v>
      </x:c>
      <x:c r="E158" s="1" t="s">
        <x:v>20</x:v>
      </x:c>
      <x:c r="F158" s="1" t="s">
        <x:v>20</x:v>
      </x:c>
      <x:c r="G158" s="1" t="s">
        <x:v>33</x:v>
      </x:c>
      <x:c r="H158" s="1" t="s">
        <x:v>34</x:v>
      </x:c>
      <x:c r="I158" s="1" t="s">
        <x:v>20</x:v>
      </x:c>
      <x:c r="J158" s="1" t="s">
        <x:v>243</x:v>
      </x:c>
      <x:c r="K158" s="1" t="s">
        <x:v>20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20</x:v>
      </x:c>
      <x:c r="Q158" s="1" t="s">
        <x:v>20</x:v>
      </x:c>
    </x:row>
    <x:row r="159" spans="1:17">
      <x:c r="A159" s="1" t="s">
        <x:v>246</x:v>
      </x:c>
      <x:c r="B159" s="2" t="s">
        <x:v>247</x:v>
      </x:c>
      <x:c r="C159" s="2">
        <x:f>HYPERLINK("https://team-dj20.testit.software/projects/1/tests/38", "TC-035: Проверка отчетов Allure")</x:f>
      </x:c>
      <x:c r="D159" s="1" t="s">
        <x:v>19</x:v>
      </x:c>
      <x:c r="E159" s="1" t="s">
        <x:v>20</x:v>
      </x:c>
      <x:c r="F159" s="1" t="s">
        <x:v>20</x:v>
      </x:c>
      <x:c r="G159" s="1" t="s">
        <x:v>20</x:v>
      </x:c>
      <x:c r="H159" s="1" t="s">
        <x:v>20</x:v>
      </x:c>
      <x:c r="I159" s="1" t="s">
        <x:v>20</x:v>
      </x:c>
      <x:c r="J159" s="1" t="s">
        <x:v>20</x:v>
      </x:c>
      <x:c r="K159" s="1" t="s">
        <x:v>20</x:v>
      </x:c>
      <x:c r="L159" s="1" t="s">
        <x:v>36</x:v>
      </x:c>
      <x:c r="M159" s="1" t="s">
        <x:v>93</x:v>
      </x:c>
      <x:c r="N159" s="1" t="s">
        <x:v>23</x:v>
      </x:c>
      <x:c r="O159" s="1" t="s">
        <x:v>24</x:v>
      </x:c>
      <x:c r="P159" s="1" t="s">
        <x:v>25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248</x:v>
      </x:c>
      <x:c r="F160" s="1" t="s">
        <x:v>20</x:v>
      </x:c>
      <x:c r="G160" s="1" t="s">
        <x:v>20</x:v>
      </x:c>
      <x:c r="H160" s="1" t="s">
        <x:v>249</x:v>
      </x:c>
      <x:c r="I160" s="1" t="s">
        <x:v>20</x:v>
      </x:c>
      <x:c r="J160" s="1" t="s">
        <x:v>250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20</x:v>
      </x:c>
      <x:c r="F161" s="2" t="s">
        <x:v>251</x:v>
      </x:c>
      <x:c r="G161" s="1" t="s">
        <x:v>20</x:v>
      </x:c>
      <x:c r="H161" s="1" t="s">
        <x:v>252</x:v>
      </x:c>
      <x:c r="I161" s="1" t="s">
        <x:v>20</x:v>
      </x:c>
      <x:c r="J161" s="1" t="s">
        <x:v>250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20</x:v>
      </x:c>
      <x:c r="F162" s="1" t="s">
        <x:v>20</x:v>
      </x:c>
      <x:c r="G162" s="1" t="s">
        <x:v>253</x:v>
      </x:c>
      <x:c r="H162" s="1" t="s">
        <x:v>254</x:v>
      </x:c>
      <x:c r="I162" s="1" t="s">
        <x:v>20</x:v>
      </x:c>
      <x:c r="J162" s="1" t="s">
        <x:v>250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255</x:v>
      </x:c>
      <x:c r="B163" s="2" t="s">
        <x:v>247</x:v>
      </x:c>
      <x:c r="C163" s="2">
        <x:f>HYPERLINK("https://team-dj20.testit.software/projects/1/tests/39", "TC-036: Проверка джобы в Jenkins")</x:f>
      </x:c>
      <x:c r="D163" s="1" t="s">
        <x:v>19</x:v>
      </x:c>
      <x:c r="E163" s="1" t="s">
        <x:v>20</x:v>
      </x:c>
      <x:c r="F163" s="1" t="s">
        <x:v>20</x:v>
      </x:c>
      <x:c r="G163" s="1" t="s">
        <x:v>20</x:v>
      </x:c>
      <x:c r="H163" s="1" t="s">
        <x:v>20</x:v>
      </x:c>
      <x:c r="I163" s="1" t="s">
        <x:v>20</x:v>
      </x:c>
      <x:c r="J163" s="1" t="s">
        <x:v>20</x:v>
      </x:c>
      <x:c r="K163" s="1" t="s">
        <x:v>20</x:v>
      </x:c>
      <x:c r="L163" s="1" t="s">
        <x:v>36</x:v>
      </x:c>
      <x:c r="M163" s="1" t="s">
        <x:v>93</x:v>
      </x:c>
      <x:c r="N163" s="1" t="s">
        <x:v>23</x:v>
      </x:c>
      <x:c r="O163" s="1" t="s">
        <x:v>24</x:v>
      </x:c>
      <x:c r="P163" s="1" t="s">
        <x:v>25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256</x:v>
      </x:c>
      <x:c r="F164" s="1" t="s">
        <x:v>20</x:v>
      </x:c>
      <x:c r="G164" s="1" t="s">
        <x:v>20</x:v>
      </x:c>
      <x:c r="H164" s="1" t="s">
        <x:v>257</x:v>
      </x:c>
      <x:c r="I164" s="1" t="s">
        <x:v>20</x:v>
      </x:c>
      <x:c r="J164" s="1" t="s">
        <x:v>258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20</x:v>
      </x:c>
      <x:c r="B165" s="2" t="s">
        <x:v>20</x:v>
      </x:c>
      <x:c r="C165" s="2" t="s">
        <x:v>20</x:v>
      </x:c>
      <x:c r="D165" s="1" t="s">
        <x:v>20</x:v>
      </x:c>
      <x:c r="E165" s="1" t="s">
        <x:v>20</x:v>
      </x:c>
      <x:c r="F165" s="2" t="s">
        <x:v>259</x:v>
      </x:c>
      <x:c r="G165" s="1" t="s">
        <x:v>20</x:v>
      </x:c>
      <x:c r="H165" s="1" t="s">
        <x:v>260</x:v>
      </x:c>
      <x:c r="I165" s="1" t="s">
        <x:v>20</x:v>
      </x:c>
      <x:c r="J165" s="1" t="s">
        <x:v>258</x:v>
      </x:c>
      <x:c r="K165" s="1" t="s">
        <x:v>20</x:v>
      </x:c>
      <x:c r="L165" s="1" t="s">
        <x:v>20</x:v>
      </x:c>
      <x:c r="M165" s="1" t="s">
        <x:v>20</x:v>
      </x:c>
      <x:c r="N165" s="1" t="s">
        <x:v>20</x:v>
      </x:c>
      <x:c r="O165" s="1" t="s">
        <x:v>20</x:v>
      </x:c>
      <x:c r="P165" s="1" t="s">
        <x:v>20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1" t="s">
        <x:v>20</x:v>
      </x:c>
      <x:c r="G166" s="1" t="s">
        <x:v>261</x:v>
      </x:c>
      <x:c r="H166" s="1" t="s">
        <x:v>262</x:v>
      </x:c>
      <x:c r="I166" s="1" t="s">
        <x:v>20</x:v>
      </x:c>
      <x:c r="J166" s="1" t="s">
        <x:v>258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Project_Азбука Рекламы</vt:lpstr>
      <vt:lpstr>Project_Азбука Рекламы!Print_Area</vt:lpstr>
      <vt:lpstr>Project_Азбука Рекламы!Print_Titles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